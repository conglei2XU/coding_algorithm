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c8c1ee28794a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6fc8269d8444105"/>
    <x:sheet xmlns:r="http://schemas.openxmlformats.org/officeDocument/2006/relationships" name="Daily Tracker" sheetId="2" r:id="Ra71f158ddf9447b2"/>
    <x:sheet xmlns:r="http://schemas.openxmlformats.org/officeDocument/2006/relationships" name="Mock Interview Log" sheetId="3" r:id="R9db4c6cd4ec54502"/>
    <x:sheet xmlns:r="http://schemas.openxmlformats.org/officeDocument/2006/relationships" name="Skill Checklist" sheetId="4" r:id="Re38a36ceb41d4b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mmm d, yyyy"/>
    <x:numFmt numFmtId="201" formatCode="0%"/>
    <x:numFmt numFmtId="202" formatCode="0"/>
    <x:numFmt numFmtId="203" formatCode="0.0"/>
    <x:numFmt numFmtId="204" formatCode="ddd, mmm d"/>
  </x:numFmts>
  <x:fonts count="10">
    <x:font>
      <x:sz val="11"/>
      <x:name val="Carlito"/>
    </x:font>
    <x:font>
      <x:b/>
      <x:sz val="20"/>
      <x:color rgb="FFFFFFFF"/>
      <x:name val="Carlito"/>
    </x:font>
    <x:font>
      <x:sz val="10"/>
      <x:color rgb="FF475569"/>
      <x:name val="Carlito"/>
    </x:font>
    <x:font>
      <x:b/>
      <x:sz val="11"/>
      <x:name val="Carlito"/>
    </x:font>
    <x:font>
      <x:b/>
      <x:sz val="10"/>
      <x:color rgb="FFFFFFFF"/>
      <x:name val="Carlito"/>
    </x:font>
    <x:font>
      <x:b/>
      <x:sz val="22"/>
      <x:color rgb="FF1D4ED8"/>
      <x:name val="Carlito"/>
    </x:font>
    <x:font>
      <x:b/>
      <x:sz val="11"/>
      <x:color rgb="FFFFFFFF"/>
      <x:name val="Carlito"/>
    </x:font>
    <x:font>
      <x:sz val="11"/>
      <x:color rgb="FF142840"/>
      <x:name val="Carlito"/>
    </x:font>
    <x:font>
      <x:b/>
      <x:sz val="10"/>
      <x:color rgb="FF142840"/>
      <x:name val="Carlito"/>
    </x:font>
    <x:font>
      <x:sz val="11"/>
      <x:color rgb="FF475569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42840"/>
      </x:patternFill>
    </x:fill>
    <x:fill>
      <x:patternFill patternType="solid">
        <x:fgColor rgb="FFEFF6FF"/>
      </x:patternFill>
    </x:fill>
    <x:fill>
      <x:patternFill patternType="solid">
        <x:fgColor rgb="FFFEF3C7"/>
      </x:patternFill>
    </x:fill>
    <x:fill>
      <x:patternFill patternType="solid">
        <x:fgColor rgb="FFF3F7FB"/>
      </x:patternFill>
    </x:fill>
    <x:fill>
      <x:patternFill patternType="solid">
        <x:fgColor rgb="FF0F766E"/>
      </x:patternFill>
    </x:fill>
  </x:fills>
  <x:borders count="2">
    <x:border/>
    <x:border/>
  </x:borders>
  <x:cellStyleXfs count="1">
    <x:xf numFmtId="0" fontId="0" fillId="0" borderId="0"/>
  </x:cellStyleXfs>
  <x:cellXfs count="11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200" fontId="0" fillId="4" borderId="0" xfId="0" applyNumberFormat="1" applyFont="1" applyFill="1" applyBorder="1"/>
    <x:xf numFmtId="200" fontId="0" fillId="4" borderId="1" xfId="0" applyNumberFormat="1" applyFont="1" applyFill="1" applyBorder="1"/>
    <x:xf numFmtId="200" fontId="3" fillId="4" borderId="0" xfId="0" applyNumberFormat="1" applyFont="1" applyFill="1" applyBorder="1"/>
    <x:xf numFmtId="20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 vertical="center"/>
    </x:xf>
    <x:xf numFmtId="201" fontId="5" fillId="3" borderId="0" xfId="0" applyNumberFormat="1" applyFont="1" applyFill="1" applyBorder="1" applyAlignment="1">
      <x:alignment horizontal="center" vertical="center"/>
    </x:xf>
    <x:xf numFmtId="201" fontId="5" fillId="3" borderId="1" xfId="0" applyNumberFormat="1" applyFont="1" applyFill="1" applyBorder="1" applyAlignment="1">
      <x:alignment horizontal="center" vertical="center"/>
    </x:xf>
    <x:xf numFmtId="202" fontId="5" fillId="3" borderId="0" xfId="0" applyNumberFormat="1" applyFont="1" applyFill="1" applyBorder="1" applyAlignment="1">
      <x:alignment horizontal="center" vertical="center"/>
    </x:xf>
    <x:xf numFmtId="202" fontId="5" fillId="3" borderId="1" xfId="0" applyNumberFormat="1" applyFont="1" applyFill="1" applyBorder="1" applyAlignment="1">
      <x:alignment horizontal="center" vertical="center"/>
    </x:xf>
    <x:xf numFmtId="203" fontId="5" fillId="3" borderId="0" xfId="0" applyNumberFormat="1" applyFont="1" applyFill="1" applyBorder="1" applyAlignment="1">
      <x:alignment horizontal="center" vertical="center"/>
    </x:xf>
    <x:xf numFmtId="203" fontId="5" fillId="3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wrapText="1"/>
    </x:xf>
    <x:xf numFmtId="0" fontId="6" fillId="6" borderId="1" xfId="0" applyNumberFormat="1" applyFont="1" applyFill="1" applyBorder="1" applyAlignment="1">
      <x:alignment vertical="center" wrapText="1"/>
    </x:xf>
    <x:xf numFmtId="203" fontId="0" fillId="5" borderId="0" xfId="0" applyNumberFormat="1" applyFont="1" applyFill="1" applyBorder="1"/>
    <x:xf numFmtId="203" fontId="0" fillId="0" borderId="0" xfId="0" applyNumberFormat="1" applyFont="1" applyFill="1" applyBorder="1"/>
    <x:xf numFmtId="203" fontId="0" fillId="5" borderId="1" xfId="0" applyNumberFormat="1" applyFont="1" applyFill="1" applyBorder="1"/>
    <x:xf numFmtId="203" fontId="0" fillId="0" borderId="1" xfId="0" applyNumberFormat="1" applyFont="1" applyFill="1" applyBorder="1"/>
    <x:xf numFmtId="201" fontId="0" fillId="5" borderId="0" xfId="0" applyNumberFormat="1" applyFont="1" applyFill="1" applyBorder="1"/>
    <x:xf numFmtId="201" fontId="0" fillId="0" borderId="0" xfId="0" applyNumberFormat="1" applyFont="1" applyFill="1" applyBorder="1"/>
    <x:xf numFmtId="201" fontId="0" fillId="5" borderId="1" xfId="0" applyNumberFormat="1" applyFont="1" applyFill="1" applyBorder="1"/>
    <x:xf numFmtId="201" fontId="0" fillId="0" borderId="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2" fillId="5" borderId="1" xfId="0" applyNumberFormat="1" applyFont="1" applyFill="1" applyBorder="1"/>
    <x:xf numFmtId="0" fontId="2" fillId="5" borderId="1" xfId="0" applyNumberFormat="1" applyFont="1" applyFill="1" applyBorder="1" applyAlignment="1">
      <x:alignment wrapText="1"/>
    </x:xf>
    <x:xf numFmtId="0" fontId="2" fillId="5" borderId="1" xfId="0" applyNumberFormat="1" applyFont="1" applyFill="1" applyBorder="1" applyAlignment="1">
      <x:alignment vertical="center" wrapText="1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7" fillId="3" borderId="0" xfId="0" applyNumberFormat="1" applyFont="1" applyFill="1" applyBorder="1" applyAlignment="1">
      <x:alignment vertical="center" wrapText="1"/>
    </x:xf>
    <x:xf numFmtId="0" fontId="7" fillId="3" borderId="1" xfId="0" applyNumberFormat="1" applyFont="1" applyFill="1" applyBorder="1"/>
    <x:xf numFmtId="0" fontId="7" fillId="3" borderId="1" xfId="0" applyNumberFormat="1" applyFont="1" applyFill="1" applyBorder="1" applyAlignment="1">
      <x:alignment wrapText="1"/>
    </x:xf>
    <x:xf numFmtId="0" fontId="7" fillId="3" borderId="1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vertical="center" wrapText="1"/>
    </x:xf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4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1" fontId="0" fillId="3" borderId="0" xfId="0" applyNumberFormat="1" applyFont="1" applyFill="1" applyBorder="1"/>
    <x:xf numFmtId="204" fontId="0" fillId="3" borderId="1" xfId="0" applyNumberFormat="1" applyFont="1" applyFill="1" applyBorder="1"/>
    <x:xf numFmtId="0" fontId="0" fillId="3" borderId="1" xfId="0" applyNumberFormat="1" applyFont="1" applyFill="1" applyBorder="1" applyAlignment="1">
      <x:alignment wrapText="1"/>
    </x:xf>
    <x:xf numFmtId="201" fontId="0" fillId="3" borderId="1" xfId="0" applyNumberFormat="1" applyFont="1" applyFill="1" applyBorder="1"/>
    <x:xf numFmtId="0" fontId="3" fillId="3" borderId="0" xfId="0" applyNumberFormat="1" applyFont="1" applyFill="1" applyBorder="1"/>
    <x:xf numFmtId="204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/>
    <x:xf numFmtId="204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1" fontId="2" fillId="3" borderId="0" xfId="0" applyNumberFormat="1" applyFont="1" applyFill="1" applyBorder="1" applyAlignment="1">
      <x:alignment vertical="center"/>
    </x:xf>
    <x:xf numFmtId="201" fontId="2" fillId="3" borderId="1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 applyAlignment="1">
      <x:alignment vertical="center"/>
    </x:xf>
    <x:xf numFmtId="201" fontId="8" fillId="3" borderId="0" xfId="0" applyNumberFormat="1" applyFont="1" applyFill="1" applyBorder="1" applyAlignment="1">
      <x:alignment vertical="center"/>
    </x:xf>
    <x:xf numFmtId="0" fontId="8" fillId="3" borderId="1" xfId="0" applyNumberFormat="1" applyFont="1" applyFill="1" applyBorder="1" applyAlignment="1">
      <x:alignment vertical="center"/>
    </x:xf>
    <x:xf numFmtId="201" fontId="8" fillId="3" borderId="1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9" fillId="3" borderId="0" xfId="0" applyNumberFormat="1" applyFont="1" applyFill="1" applyBorder="1" applyAlignment="1">
      <x:alignment vertical="center" wrapText="1"/>
    </x:xf>
    <x:xf numFmtId="0" fontId="9" fillId="3" borderId="1" xfId="0" applyNumberFormat="1" applyFont="1" applyFill="1" applyBorder="1"/>
    <x:xf numFmtId="0" fontId="9" fillId="3" borderId="1" xfId="0" applyNumberFormat="1" applyFont="1" applyFill="1" applyBorder="1" applyAlignment="1">
      <x:alignment wrapText="1"/>
    </x:xf>
    <x:xf numFmtId="0" fontId="9" fillId="3" borderId="1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/>
    <x:xf numFmtId="0" fontId="9" fillId="5" borderId="0" xfId="0" applyNumberFormat="1" applyFont="1" applyFill="1" applyBorder="1" applyAlignment="1">
      <x:alignment wrapText="1"/>
    </x:xf>
    <x:xf numFmtId="0" fontId="9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">
    <x:dxf>
      <x:fill>
        <x:patternFill patternType="solid">
          <x:bgColor rgb="FFDCFCE7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DCFCE7"/>
        </x:patternFill>
      </x:fill>
    </x:dxf>
    <x:dxf>
      <x:fill>
        <x:patternFill patternType="solid">
          <x:bgColor rgb="FFDCFCE7"/>
        </x:patternFill>
      </x:fill>
    </x:dxf>
    <x:dxf>
      <x:fill>
        <x:patternFill patternType="solid"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4affc935a74d4c" /><Relationship Type="http://schemas.openxmlformats.org/officeDocument/2006/relationships/theme" Target="/xl/theme/theme1.xml" Id="R6f4859495c2b4587" /><Relationship Type="http://schemas.openxmlformats.org/officeDocument/2006/relationships/sharedStrings" Target="/xl/sharedStrings.xml" Id="R3a6e161586d24bb9" /><Relationship Type="http://schemas.openxmlformats.org/officeDocument/2006/relationships/worksheet" Target="/xl/worksheets/sheet1.xml" Id="Rc6fc8269d8444105" /><Relationship Type="http://schemas.openxmlformats.org/officeDocument/2006/relationships/worksheet" Target="/xl/worksheets/sheet2.xml" Id="Ra71f158ddf9447b2" /><Relationship Type="http://schemas.openxmlformats.org/officeDocument/2006/relationships/worksheet" Target="/xl/worksheets/sheet3.xml" Id="R9db4c6cd4ec54502" /><Relationship Type="http://schemas.openxmlformats.org/officeDocument/2006/relationships/worksheet" Target="/xl/worksheets/sheet4.xml" Id="Re38a36ceb41d4ba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144c3ad4e784ef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Weekly task completion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Completed %</c:v>
          </c:tx>
          <c:cat>
            <c:strRef>
              <c:f>'Dashboard'!$A$14:$A$19</c:f>
              <c:strCache>
                <c:ptCount val="0"/>
              </c:strCache>
            </c:strRef>
          </c:cat>
          <c:val>
            <c:numRef>
              <c:f>'Dashboard'!$E$14:$E$19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7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144c3ad4e784ef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c8957afe90f4dc7" /></Relationships>
</file>

<file path=xl/worksheets/sheet1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6" hidden="0" customWidth="1"/>
    <x:col min="2" max="2" width="36" hidden="0" customWidth="1"/>
    <x:col min="3" max="3" width="19" hidden="0" customWidth="1"/>
    <x:col min="4" max="4" width="18" hidden="0" customWidth="1"/>
    <x:col min="5" max="5" width="20" hidden="0" customWidth="1"/>
    <x:col min="6" max="6" width="17" hidden="0" customWidth="1"/>
    <x:col min="7" max="7" width="43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27" customHeight="1">
      <x:c r="A1" s="4" t="str">
        <x:v>LLM TRAINING • INTERVIEW PREP DASHBOARD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7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 ht="28" customHeight="1">
      <x:c r="A3" s="10" t="str">
        <x:v>6-week plan  |  Change the start date in B5  |  Track tasks daily in Daily Tracker</x:v>
      </x:c>
      <x:c r="B3" s="10"/>
      <x:c r="C3" s="10"/>
      <x:c r="D3" s="10"/>
      <x:c r="E3" s="10"/>
      <x:c r="F3" s="10"/>
      <x:c r="G3" s="10"/>
      <x:c r="H3" s="10"/>
      <x:c r="I3" s="10"/>
      <x:c r="J3" s="10"/>
    </x:row>
    <x:row r="5" ht="32" customHeight="1">
      <x:c r="A5" s="16" t="str">
        <x:v>START DATE →</x:v>
      </x:c>
      <x:c r="B5" s="20" t="n">
        <x:v>46307</x:v>
      </x:c>
      <x:c r="D5" s="16" t="str">
        <x:v>TARGET ROLE</x:v>
      </x:c>
      <x:c r="E5" s="22" t="str">
        <x:v>LLM Post-training / Domain Model Engineer  •  Agentic RL (secondary)</x:v>
      </x:c>
      <x:c r="F5" s="22"/>
      <x:c r="G5" s="22"/>
      <x:c r="H5" s="22"/>
      <x:c r="I5" s="22"/>
      <x:c r="J5" s="22"/>
    </x:row>
    <x:row r="8" ht="25" customHeight="1">
      <x:c r="A8" s="25" t="str">
        <x:v>OVERALL COMPLETION</x:v>
      </x:c>
      <x:c r="B8" s="25"/>
      <x:c r="C8" s="25" t="str">
        <x:v>FINISHED DAYS</x:v>
      </x:c>
      <x:c r="D8" s="25"/>
      <x:c r="E8" s="25" t="str">
        <x:v>STUDY HOURS LOGGED</x:v>
      </x:c>
      <x:c r="F8" s="25"/>
      <x:c r="G8" s="25" t="str">
        <x:v>TASKS DONE</x:v>
      </x:c>
      <x:c r="H8" s="25"/>
      <x:c r="I8" s="25" t="str">
        <x:v>AVG CONFIDENCE</x:v>
      </x:c>
      <x:c r="J8" s="25"/>
    </x:row>
    <x:row r="9" ht="28" customHeight="1">
      <x:c r="A9" s="34" t="n">
        <x:f>SUM('Daily Tracker'!M5:M46)/42</x:f>
        <x:v>0</x:v>
      </x:c>
      <x:c r="B9" s="30"/>
      <x:c r="C9" s="36" t="n">
        <x:f>COUNTIF('Daily Tracker'!N5:N46,"Completed")</x:f>
        <x:v>0</x:v>
      </x:c>
      <x:c r="D9" s="30"/>
      <x:c r="E9" s="38" t="n">
        <x:f>SUM('Daily Tracker'!P5:P46)/60</x:f>
        <x:v>0</x:v>
      </x:c>
      <x:c r="F9" s="30"/>
      <x:c r="G9" s="36" t="n">
        <x:f>COUNTIF('Daily Tracker'!I5:L46,"Done")</x:f>
        <x:v>0</x:v>
      </x:c>
      <x:c r="H9" s="30"/>
      <x:c r="I9" s="38" t="n">
        <x:f>IFERROR(AVERAGE('Daily Tracker'!Q5:Q46),0)</x:f>
        <x:v>0</x:v>
      </x:c>
      <x:c r="J9" s="30"/>
    </x:row>
    <x:row r="10" ht="28" customHeight="1">
      <x:c r="A10" s="30"/>
      <x:c r="B10" s="30"/>
      <x:c r="C10" s="30"/>
      <x:c r="D10" s="30"/>
      <x:c r="E10" s="30"/>
      <x:c r="F10" s="30"/>
      <x:c r="G10" s="30"/>
      <x:c r="H10" s="30"/>
      <x:c r="I10" s="30"/>
      <x:c r="J10" s="30"/>
    </x:row>
    <x:row r="13" ht="31" customHeight="1">
      <x:c r="A13" s="43" t="str">
        <x:v>WEEK</x:v>
      </x:c>
      <x:c r="B13" s="43" t="str">
        <x:v>MAIN FOCUS</x:v>
      </x:c>
      <x:c r="C13" s="43" t="str">
        <x:v>PLANNED HOURS</x:v>
      </x:c>
      <x:c r="D13" s="43" t="str">
        <x:v>HOURS LOGGED</x:v>
      </x:c>
      <x:c r="E13" s="43" t="str">
        <x:v>COMPLETION</x:v>
      </x:c>
      <x:c r="F13" s="43" t="str">
        <x:v>DAYS FINISHED</x:v>
      </x:c>
      <x:c r="G13" s="43" t="str">
        <x:v>MAIN DELIVERABLE</x:v>
      </x:c>
      <x:c r="H13" s="41" t="str">
        <x:v>HOW TO USE</x:v>
      </x:c>
      <x:c r="I13" s="41"/>
      <x:c r="J13" s="41"/>
    </x:row>
    <x:row r="14" ht="22" customHeight="1">
      <x:c r="A14" s="22" t="n">
        <x:v>1</x:v>
      </x:c>
      <x:c r="B14" s="22" t="str">
        <x:v>LLM training fundamentals</x:v>
      </x:c>
      <x:c r="C14" s="48" t="n">
        <x:f>SUMIF('Daily Tracker'!$B$5:$B$46,A14,'Daily Tracker'!$O$5:$O$46)/60</x:f>
        <x:v>12</x:v>
      </x:c>
      <x:c r="D14" s="48" t="n">
        <x:f>SUMIF('Daily Tracker'!$B$5:$B$46,A14,'Daily Tracker'!$P$5:$P$46)/60</x:f>
        <x:v>0</x:v>
      </x:c>
      <x:c r="E14" s="52" t="n">
        <x:f>SUMIF('Daily Tracker'!$B$5:$B$46,A14,'Daily Tracker'!$M$5:$M$46)/7</x:f>
        <x:v>0</x:v>
      </x:c>
      <x:c r="F14" s="22" t="n">
        <x:f>COUNTIFS('Daily Tracker'!$B$5:$B$46,A14,'Daily Tracker'!$N$5:$N$46,"Completed")</x:f>
        <x:v>0</x:v>
      </x:c>
      <x:c r="G14" s="22" t="str">
        <x:v>Explain Transformer and implement SFT baseline</x:v>
      </x:c>
      <x:c r="H14" s="58" t="str">
        <x:v>1  Change the yellow start-date cell above.</x:v>
      </x:c>
      <x:c r="I14" s="58"/>
      <x:c r="J14" s="58"/>
    </x:row>
    <x:row r="15" ht="22" customHeight="1">
      <x:c r="A15" t="n">
        <x:v>2</x:v>
      </x:c>
      <x:c r="B15" t="str">
        <x:v>Domain adaptation and data</x:v>
      </x:c>
      <x:c r="C15" s="49" t="n">
        <x:f>SUMIF('Daily Tracker'!$B$5:$B$46,A15,'Daily Tracker'!$O$5:$O$46)/60</x:f>
        <x:v>12</x:v>
      </x:c>
      <x:c r="D15" s="49" t="n">
        <x:f>SUMIF('Daily Tracker'!$B$5:$B$46,A15,'Daily Tracker'!$P$5:$P$46)/60</x:f>
        <x:v>0</x:v>
      </x:c>
      <x:c r="E15" s="53" t="n">
        <x:f>SUMIF('Daily Tracker'!$B$5:$B$46,A15,'Daily Tracker'!$M$5:$M$46)/7</x:f>
        <x:v>0</x:v>
      </x:c>
      <x:c r="F15" t="n">
        <x:f>COUNTIFS('Daily Tracker'!$B$5:$B$46,A15,'Daily Tracker'!$N$5:$N$46,"Completed")</x:f>
        <x:v>0</x:v>
      </x:c>
      <x:c r="G15" t="str">
        <x:v>Financial training pipeline + design mock</x:v>
      </x:c>
      <x:c r="H15" s="58"/>
      <x:c r="I15" s="58"/>
      <x:c r="J15" s="58"/>
    </x:row>
    <x:row r="16" ht="22" customHeight="1">
      <x:c r="A16" s="22" t="n">
        <x:v>3</x:v>
      </x:c>
      <x:c r="B16" s="22" t="str">
        <x:v>Preference optimization</x:v>
      </x:c>
      <x:c r="C16" s="48" t="n">
        <x:f>SUMIF('Daily Tracker'!$B$5:$B$46,A16,'Daily Tracker'!$O$5:$O$46)/60</x:f>
        <x:v>12</x:v>
      </x:c>
      <x:c r="D16" s="48" t="n">
        <x:f>SUMIF('Daily Tracker'!$B$5:$B$46,A16,'Daily Tracker'!$P$5:$P$46)/60</x:f>
        <x:v>0</x:v>
      </x:c>
      <x:c r="E16" s="52" t="n">
        <x:f>SUMIF('Daily Tracker'!$B$5:$B$46,A16,'Daily Tracker'!$M$5:$M$46)/7</x:f>
        <x:v>0</x:v>
      </x:c>
      <x:c r="F16" s="22" t="n">
        <x:f>COUNTIFS('Daily Tracker'!$B$5:$B$46,A16,'Daily Tracker'!$N$5:$N$46,"Completed")</x:f>
        <x:v>0</x:v>
      </x:c>
      <x:c r="G16" s="22" t="str">
        <x:v>Preference method comparison + small experiment</x:v>
      </x:c>
      <x:c r="H16" s="58" t="str">
        <x:v>2  In Daily Tracker, mark each task Done.</x:v>
      </x:c>
      <x:c r="I16" s="58"/>
      <x:c r="J16" s="58"/>
    </x:row>
    <x:row r="17" ht="22" customHeight="1">
      <x:c r="A17" t="n">
        <x:v>4</x:v>
      </x:c>
      <x:c r="B17" t="str">
        <x:v>Training engineering</x:v>
      </x:c>
      <x:c r="C17" s="49" t="n">
        <x:f>SUMIF('Daily Tracker'!$B$5:$B$46,A17,'Daily Tracker'!$O$5:$O$46)/60</x:f>
        <x:v>12</x:v>
      </x:c>
      <x:c r="D17" s="49" t="n">
        <x:f>SUMIF('Daily Tracker'!$B$5:$B$46,A17,'Daily Tracker'!$P$5:$P$46)/60</x:f>
        <x:v>0</x:v>
      </x:c>
      <x:c r="E17" s="53" t="n">
        <x:f>SUMIF('Daily Tracker'!$B$5:$B$46,A17,'Daily Tracker'!$M$5:$M$46)/7</x:f>
        <x:v>0</x:v>
      </x:c>
      <x:c r="F17" t="n">
        <x:f>COUNTIFS('Daily Tracker'!$B$5:$B$46,A17,'Daily Tracker'!$N$5:$N$46,"Completed")</x:f>
        <x:v>0</x:v>
      </x:c>
      <x:c r="G17" t="str">
        <x:v>Memory, throughput and debugging playbook</x:v>
      </x:c>
      <x:c r="H17" s="58"/>
      <x:c r="I17" s="58"/>
      <x:c r="J17" s="58"/>
    </x:row>
    <x:row r="18" ht="22" customHeight="1">
      <x:c r="A18" s="22" t="n">
        <x:v>5</x:v>
      </x:c>
      <x:c r="B18" s="22" t="str">
        <x:v>Evaluation and research judgment</x:v>
      </x:c>
      <x:c r="C18" s="48" t="n">
        <x:f>SUMIF('Daily Tracker'!$B$5:$B$46,A18,'Daily Tracker'!$O$5:$O$46)/60</x:f>
        <x:v>12</x:v>
      </x:c>
      <x:c r="D18" s="48" t="n">
        <x:f>SUMIF('Daily Tracker'!$B$5:$B$46,A18,'Daily Tracker'!$P$5:$P$46)/60</x:f>
        <x:v>0</x:v>
      </x:c>
      <x:c r="E18" s="52" t="n">
        <x:f>SUMIF('Daily Tracker'!$B$5:$B$46,A18,'Daily Tracker'!$M$5:$M$46)/7</x:f>
        <x:v>0</x:v>
      </x:c>
      <x:c r="F18" s="22" t="n">
        <x:f>COUNTIFS('Daily Tracker'!$B$5:$B$46,A18,'Daily Tracker'!$N$5:$N$46,"Completed")</x:f>
        <x:v>0</x:v>
      </x:c>
      <x:c r="G18" s="22" t="str">
        <x:v>Evaluation research memo and ablations</x:v>
      </x:c>
      <x:c r="H18" s="58" t="str">
        <x:v>3  Log minutes, confidence and interview feedback.</x:v>
      </x:c>
      <x:c r="I18" s="58"/>
      <x:c r="J18" s="58"/>
    </x:row>
    <x:row r="19" ht="22" customHeight="1">
      <x:c r="A19" t="n">
        <x:v>6</x:v>
      </x:c>
      <x:c r="B19" t="str">
        <x:v>Full mock interview intensive</x:v>
      </x:c>
      <x:c r="C19" s="49" t="n">
        <x:f>SUMIF('Daily Tracker'!$B$5:$B$46,A19,'Daily Tracker'!$O$5:$O$46)/60</x:f>
        <x:v>12.166666666666666</x:v>
      </x:c>
      <x:c r="D19" s="49" t="n">
        <x:f>SUMIF('Daily Tracker'!$B$5:$B$46,A19,'Daily Tracker'!$P$5:$P$46)/60</x:f>
        <x:v>0</x:v>
      </x:c>
      <x:c r="E19" s="53" t="n">
        <x:f>SUMIF('Daily Tracker'!$B$5:$B$46,A19,'Daily Tracker'!$M$5:$M$46)/7</x:f>
        <x:v>0</x:v>
      </x:c>
      <x:c r="F19" t="n">
        <x:f>COUNTIFS('Daily Tracker'!$B$5:$B$46,A19,'Daily Tracker'!$N$5:$N$46,"Completed")</x:f>
        <x:v>0</x:v>
      </x:c>
      <x:c r="G19" t="str">
        <x:v>Full mock interview + prioritized next steps</x:v>
      </x:c>
      <x:c r="H19" s="58"/>
      <x:c r="I19" s="58"/>
      <x:c r="J19" s="58"/>
    </x:row>
    <x:row r="20" ht="22" customHeight="1">
      <x:c r="H20" s="58" t="str">
        <x:v>4  Use weekly completion to plan your next sessions.</x:v>
      </x:c>
      <x:c r="I20" s="58"/>
      <x:c r="J20" s="58"/>
    </x:row>
    <x:row r="21" ht="22" customHeight="1">
      <x:c r="A21" s="64" t="str">
        <x:v>Your starting point: ML/AI engineer or researcher with some fine-tuning experience. Priority: post-training + domain LLM design; explore agentic RL after core skills.</x:v>
      </x:c>
      <x:c r="B21" s="64"/>
      <x:c r="C21" s="64"/>
      <x:c r="D21" s="64"/>
      <x:c r="E21" s="64"/>
      <x:c r="F21" s="64"/>
      <x:c r="G21" s="64"/>
      <x:c r="H21" s="58"/>
      <x:c r="I21" s="58"/>
      <x:c r="J21" s="58"/>
    </x:row>
    <x:row r="22" ht="22" customHeight="1">
      <x:c r="A22" s="64"/>
      <x:c r="B22" s="64"/>
      <x:c r="C22" s="64"/>
      <x:c r="D22" s="64"/>
      <x:c r="E22" s="64"/>
      <x:c r="F22" s="64"/>
      <x:c r="G22" s="64"/>
    </x:row>
    <x:row r="24" ht="25" customHeight="1">
      <x:c r="H24" s="104" t="str">
        <x:v>Score mock interviews in Mock Interview Log and update your confidence in Skill Checklist after each practice session.</x:v>
      </x:c>
      <x:c r="I24" s="104"/>
      <x:c r="J24" s="104"/>
    </x:row>
    <x:row r="25" ht="25" customHeight="1">
      <x:c r="H25" s="104"/>
      <x:c r="I25" s="104"/>
      <x:c r="J25" s="104"/>
    </x:row>
    <x:row r="26" ht="25" customHeight="1">
      <x:c r="H26" s="104"/>
      <x:c r="I26" s="104"/>
      <x:c r="J26" s="104"/>
    </x:row>
    <x:row r="28" ht="25" customHeight="1">
      <x:c r="H28" s="110" t="str">
        <x:v>Confidence scale: 0 = new, 1 = can define, 2 = can apply, 3 = can defend, 4 = can teach.</x:v>
      </x:c>
      <x:c r="I28" s="110"/>
      <x:c r="J28" s="110"/>
    </x:row>
    <x:row r="29" ht="25" customHeight="1">
      <x:c r="H29" s="110"/>
      <x:c r="I29" s="110"/>
      <x:c r="J29" s="110"/>
    </x:row>
    <x:row r="30" ht="25" customHeight="1">
      <x:c r="H30" s="110"/>
      <x:c r="I30" s="110"/>
      <x:c r="J30" s="110"/>
    </x:row>
  </x:sheetData>
  <x:mergeCells>
    <x:mergeCell ref="A1:J2"/>
    <x:mergeCell ref="A3:J3"/>
    <x:mergeCell ref="E5:J5"/>
    <x:mergeCell ref="A8:B8"/>
    <x:mergeCell ref="A9:B10"/>
    <x:mergeCell ref="C8:D8"/>
    <x:mergeCell ref="C9:D10"/>
    <x:mergeCell ref="E8:F8"/>
    <x:mergeCell ref="E9:F10"/>
    <x:mergeCell ref="G8:H8"/>
    <x:mergeCell ref="G9:H10"/>
    <x:mergeCell ref="I8:J8"/>
    <x:mergeCell ref="I9:J10"/>
    <x:mergeCell ref="H13:J13"/>
    <x:mergeCell ref="H14:J15"/>
    <x:mergeCell ref="H16:J17"/>
    <x:mergeCell ref="H18:J19"/>
    <x:mergeCell ref="H20:J21"/>
    <x:mergeCell ref="A21:G22"/>
    <x:mergeCell ref="H24:J26"/>
    <x:mergeCell ref="H28:J30"/>
  </x:mergeCells>
  <x:conditionalFormatting sqref="E14:E19">
    <x:cfRule type="dataBar" priority="1">
      <x:dataBar>
        <x:cfvo type="min"/>
        <x:cfvo type="max"/>
        <x:color rgb="FF0F766E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1c8957afe90f4dc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0">
              <x14:cfvo type="min"/>
              <x14:cfvo type="max"/>
              <x14:fillColor rgb="FF0F766E"/>
            </x14:dataBar>
          </x14:cfRule>
          <xm:sqref>E14:E19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7" hidden="0" customWidth="1"/>
    <x:col min="2" max="2" width="8" hidden="0" customWidth="1"/>
    <x:col min="3" max="3" width="16" hidden="0" customWidth="1"/>
    <x:col min="4" max="4" width="28" hidden="0" customWidth="1"/>
    <x:col min="5" max="5" width="46" hidden="0" customWidth="1"/>
    <x:col min="6" max="6" width="46" hidden="0" customWidth="1"/>
    <x:col min="7" max="7" width="43" hidden="0" customWidth="1"/>
    <x:col min="8" max="8" width="4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5" hidden="0" customWidth="1"/>
    <x:col min="14" max="14" width="17" hidden="0" customWidth="1"/>
    <x:col min="15" max="15" width="15" hidden="0" customWidth="1"/>
    <x:col min="16" max="16" width="14" hidden="0" customWidth="1"/>
    <x:col min="17" max="17" width="17" hidden="0" customWidth="1"/>
    <x:col min="18" max="18" width="43" hidden="0" customWidth="1"/>
  </x:cols>
  <x:sheetData>
    <x:row r="1" ht="27" customHeight="1">
      <x:c r="A1" s="4" t="str">
        <x:v>42-DAY • DAILY PRACTICE TRACKER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27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</x:row>
    <x:row r="3" ht="28" customHeight="1">
      <x:c r="A3" s="10" t="str">
        <x:v>Mark each of the four check-ins Done • Log actual minutes and confidence • Dates follow Dashboard!B5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</x:row>
    <x:row r="4" ht="42" customHeight="1">
      <x:c r="A4" s="70" t="str">
        <x:v>DAY</x:v>
      </x:c>
      <x:c r="B4" s="70" t="str">
        <x:v>WEEK</x:v>
      </x:c>
      <x:c r="C4" s="70" t="str">
        <x:v>DATE</x:v>
      </x:c>
      <x:c r="D4" s="70" t="str">
        <x:v>FOCUS</x:v>
      </x:c>
      <x:c r="E4" s="70" t="str">
        <x:v>1 • LEARN / READ</x:v>
      </x:c>
      <x:c r="F4" s="70" t="str">
        <x:v>2 • BUILD / PRACTICE</x:v>
      </x:c>
      <x:c r="G4" s="70" t="str">
        <x:v>3 • INTERVIEW DRILL</x:v>
      </x:c>
      <x:c r="H4" s="70" t="str">
        <x:v>4 • REVIEW / NOTES</x:v>
      </x:c>
      <x:c r="I4" s="70" t="str">
        <x:v>LEARN STATUS</x:v>
      </x:c>
      <x:c r="J4" s="70" t="str">
        <x:v>BUILD STATUS</x:v>
      </x:c>
      <x:c r="K4" s="70" t="str">
        <x:v>DRILL STATUS</x:v>
      </x:c>
      <x:c r="L4" s="70" t="str">
        <x:v>REVIEW STATUS</x:v>
      </x:c>
      <x:c r="M4" s="70" t="str">
        <x:v>DAILY PROGRESS</x:v>
      </x:c>
      <x:c r="N4" s="70" t="str">
        <x:v>DAY STATUS</x:v>
      </x:c>
      <x:c r="O4" s="70" t="str">
        <x:v>PLANNED MIN</x:v>
      </x:c>
      <x:c r="P4" s="70" t="str">
        <x:v>ACTUAL MIN</x:v>
      </x:c>
      <x:c r="Q4" s="70" t="str">
        <x:v>CONFIDENCE 1–5</x:v>
      </x:c>
      <x:c r="R4" s="70" t="str">
        <x:v>NOTES / BLOCKERS</x:v>
      </x:c>
    </x:row>
    <x:row r="5" ht="57" customHeight="1">
      <x:c r="A5" s="84" t="n">
        <x:v>1</x:v>
      </x:c>
      <x:c r="B5" s="84" t="n">
        <x:v>1</x:v>
      </x:c>
      <x:c r="C5" s="85" t="n">
        <x:f>Dashboard!$B$5+A5-1</x:f>
        <x:v>46307</x:v>
      </x:c>
      <x:c r="D5" s="86" t="str">
        <x:v>Attention and causal masking</x:v>
      </x:c>
      <x:c r="E5" s="79" t="str">
        <x:v>Derive QKᵀ/√d and masking; review attention shapes</x:v>
      </x:c>
      <x:c r="F5" s="79" t="str">
        <x:v>Write a minimal causal attention forward pass</x:v>
      </x:c>
      <x:c r="G5" s="79" t="str">
        <x:v>Explain why attention is scaled and masked</x:v>
      </x:c>
      <x:c r="H5" s="79" t="str">
        <x:v>Record the derivation and one failure case</x:v>
      </x:c>
      <x:c r="I5" s="8" t="str">
        <x:v>Not started</x:v>
      </x:c>
      <x:c r="J5" s="8" t="str">
        <x:v>Not started</x:v>
      </x:c>
      <x:c r="K5" s="8" t="str">
        <x:v>Not started</x:v>
      </x:c>
      <x:c r="L5" s="8" t="str">
        <x:v>Not started</x:v>
      </x:c>
      <x:c r="M5" s="80" t="n">
        <x:f>COUNTIF(I5:L5,"Done")/4</x:f>
        <x:v>0</x:v>
      </x:c>
      <x:c r="N5" s="8" t="str">
        <x:f>IF(M5=1,"Completed",IF(M5&gt;0,"In progress","Not started"))</x:f>
        <x:v>Not started</x:v>
      </x:c>
      <x:c r="O5" s="90" t="n">
        <x:v>110</x:v>
      </x:c>
      <x:c r="P5" s="90"/>
      <x:c r="Q5" s="90"/>
      <x:c r="R5" s="79" t="str"/>
    </x:row>
    <x:row r="6" ht="57" customHeight="1">
      <x:c r="A6" t="n">
        <x:v>2</x:v>
      </x:c>
      <x:c r="B6" t="n">
        <x:v>1</x:v>
      </x:c>
      <x:c r="C6" s="74" t="n">
        <x:f>Dashboard!$B$5+A6-1</x:f>
        <x:v>46308</x:v>
      </x:c>
      <x:c r="D6" s="76" t="str">
        <x:v>Tokenization and RoPE</x:v>
      </x:c>
      <x:c r="E6" s="76" t="str">
        <x:v>Review token IDs, embeddings, and RoPE intuition</x:v>
      </x:c>
      <x:c r="F6" s="76" t="str">
        <x:v>Inspect tokenizer behavior on finance terms; test long inputs</x:v>
      </x:c>
      <x:c r="G6" s="76" t="str">
        <x:v>Compare absolute embeddings and RoPE</x:v>
      </x:c>
      <x:c r="H6" s="76" t="str">
        <x:v>List two tokenization risks in domain tasks</x:v>
      </x:c>
      <x:c r="I6" t="str">
        <x:v>Not started</x:v>
      </x:c>
      <x:c r="J6" t="str">
        <x:v>Not started</x:v>
      </x:c>
      <x:c r="K6" t="str">
        <x:v>Not started</x:v>
      </x:c>
      <x:c r="L6" t="str">
        <x:v>Not started</x:v>
      </x:c>
      <x:c r="M6" s="53" t="n">
        <x:f>COUNTIF(I6:L6,"Done")/4</x:f>
        <x:v>0</x:v>
      </x:c>
      <x:c r="N6" t="str">
        <x:f>IF(M6=1,"Completed",IF(M6&gt;0,"In progress","Not started"))</x:f>
        <x:v>Not started</x:v>
      </x:c>
      <x:c r="O6" s="91" t="n">
        <x:v>110</x:v>
      </x:c>
      <x:c r="P6" s="91"/>
      <x:c r="Q6" s="91"/>
      <x:c r="R6" s="76" t="str"/>
    </x:row>
    <x:row r="7" ht="57" customHeight="1">
      <x:c r="A7" t="n">
        <x:v>3</x:v>
      </x:c>
      <x:c r="B7" t="n">
        <x:v>1</x:v>
      </x:c>
      <x:c r="C7" s="74" t="n">
        <x:f>Dashboard!$B$5+A7-1</x:f>
        <x:v>46309</x:v>
      </x:c>
      <x:c r="D7" s="76" t="str">
        <x:v>Losses and label masking</x:v>
      </x:c>
      <x:c r="E7" s="76" t="str">
        <x:v>Review next-token CE, chat templates, response-only masking</x:v>
      </x:c>
      <x:c r="F7" s="76" t="str">
        <x:v>Inspect SFT batch labels, padding, and loss masks</x:v>
      </x:c>
      <x:c r="G7" s="76" t="str">
        <x:v>Explain prompt tokens vs answer tokens in SFT loss</x:v>
      </x:c>
      <x:c r="H7" s="76" t="str">
        <x:v>Document two masking bugs and tests</x:v>
      </x:c>
      <x:c r="I7" t="str">
        <x:v>Not started</x:v>
      </x:c>
      <x:c r="J7" t="str">
        <x:v>Not started</x:v>
      </x:c>
      <x:c r="K7" t="str">
        <x:v>Not started</x:v>
      </x:c>
      <x:c r="L7" t="str">
        <x:v>Not started</x:v>
      </x:c>
      <x:c r="M7" s="53" t="n">
        <x:f>COUNTIF(I7:L7,"Done")/4</x:f>
        <x:v>0</x:v>
      </x:c>
      <x:c r="N7" t="str">
        <x:f>IF(M7=1,"Completed",IF(M7&gt;0,"In progress","Not started"))</x:f>
        <x:v>Not started</x:v>
      </x:c>
      <x:c r="O7" s="91" t="n">
        <x:v>110</x:v>
      </x:c>
      <x:c r="P7" s="91"/>
      <x:c r="Q7" s="91"/>
      <x:c r="R7" s="76" t="str"/>
    </x:row>
    <x:row r="8" ht="57" customHeight="1">
      <x:c r="A8" t="n">
        <x:v>4</x:v>
      </x:c>
      <x:c r="B8" t="n">
        <x:v>1</x:v>
      </x:c>
      <x:c r="C8" s="74" t="n">
        <x:f>Dashboard!$B$5+A8-1</x:f>
        <x:v>46310</x:v>
      </x:c>
      <x:c r="D8" s="76" t="str">
        <x:v>LoRA and QLoRA</x:v>
      </x:c>
      <x:c r="E8" s="76" t="str">
        <x:v>Review low-rank adapters, target modules, 4-bit quantization</x:v>
      </x:c>
      <x:c r="F8" s="76" t="str">
        <x:v>Configure adapter rank/alpha; estimate trainable params</x:v>
      </x:c>
      <x:c r="G8" s="76" t="str">
        <x:v>When does QLoRA beat full fine-tuning?</x:v>
      </x:c>
      <x:c r="H8" s="76" t="str">
        <x:v>Note memory and quality tradeoffs</x:v>
      </x:c>
      <x:c r="I8" t="str">
        <x:v>Not started</x:v>
      </x:c>
      <x:c r="J8" t="str">
        <x:v>Not started</x:v>
      </x:c>
      <x:c r="K8" t="str">
        <x:v>Not started</x:v>
      </x:c>
      <x:c r="L8" t="str">
        <x:v>Not started</x:v>
      </x:c>
      <x:c r="M8" s="53" t="n">
        <x:f>COUNTIF(I8:L8,"Done")/4</x:f>
        <x:v>0</x:v>
      </x:c>
      <x:c r="N8" t="str">
        <x:f>IF(M8=1,"Completed",IF(M8&gt;0,"In progress","Not started"))</x:f>
        <x:v>Not started</x:v>
      </x:c>
      <x:c r="O8" s="91" t="n">
        <x:v>110</x:v>
      </x:c>
      <x:c r="P8" s="91"/>
      <x:c r="Q8" s="91"/>
      <x:c r="R8" s="76" t="str"/>
    </x:row>
    <x:row r="9" ht="57" customHeight="1">
      <x:c r="A9" t="n">
        <x:v>5</x:v>
      </x:c>
      <x:c r="B9" t="n">
        <x:v>1</x:v>
      </x:c>
      <x:c r="C9" s="74" t="n">
        <x:f>Dashboard!$B$5+A9-1</x:f>
        <x:v>46311</x:v>
      </x:c>
      <x:c r="D9" s="76" t="str">
        <x:v>Optimization and stability</x:v>
      </x:c>
      <x:c r="E9" s="76" t="str">
        <x:v>Review AdamW, warmup, gradient clipping, LR schedules</x:v>
      </x:c>
      <x:c r="F9" s="76" t="str">
        <x:v>Plot/inspect LR, grad norm and loss from a sample run</x:v>
      </x:c>
      <x:c r="G9" s="76" t="str">
        <x:v>Debug a hypothetical loss spike</x:v>
      </x:c>
      <x:c r="H9" s="76" t="str">
        <x:v>Write an experiment checklist</x:v>
      </x:c>
      <x:c r="I9" t="str">
        <x:v>Not started</x:v>
      </x:c>
      <x:c r="J9" t="str">
        <x:v>Not started</x:v>
      </x:c>
      <x:c r="K9" t="str">
        <x:v>Not started</x:v>
      </x:c>
      <x:c r="L9" t="str">
        <x:v>Not started</x:v>
      </x:c>
      <x:c r="M9" s="53" t="n">
        <x:f>COUNTIF(I9:L9,"Done")/4</x:f>
        <x:v>0</x:v>
      </x:c>
      <x:c r="N9" t="str">
        <x:f>IF(M9=1,"Completed",IF(M9&gt;0,"In progress","Not started"))</x:f>
        <x:v>Not started</x:v>
      </x:c>
      <x:c r="O9" s="91" t="n">
        <x:v>110</x:v>
      </x:c>
      <x:c r="P9" s="91"/>
      <x:c r="Q9" s="91"/>
      <x:c r="R9" s="76" t="str"/>
    </x:row>
    <x:row r="10" ht="57" customHeight="1">
      <x:c r="A10" t="n">
        <x:v>6</x:v>
      </x:c>
      <x:c r="B10" t="n">
        <x:v>1</x:v>
      </x:c>
      <x:c r="C10" s="74" t="n">
        <x:f>Dashboard!$B$5+A10-1</x:f>
        <x:v>46312</x:v>
      </x:c>
      <x:c r="D10" s="76" t="str">
        <x:v>Mini SFT experiment</x:v>
      </x:c>
      <x:c r="E10" s="76" t="str">
        <x:v>Review learning objectives and evaluation splits</x:v>
      </x:c>
      <x:c r="F10" s="76" t="str">
        <x:v>Run or outline small-domain LoRA SFT with baseline</x:v>
      </x:c>
      <x:c r="G10" s="76" t="str">
        <x:v>Explain training choices and expected regressions</x:v>
      </x:c>
      <x:c r="H10" s="76" t="str">
        <x:v>Record artifacts, config and eval results</x:v>
      </x:c>
      <x:c r="I10" t="str">
        <x:v>Not started</x:v>
      </x:c>
      <x:c r="J10" t="str">
        <x:v>Not started</x:v>
      </x:c>
      <x:c r="K10" t="str">
        <x:v>Not started</x:v>
      </x:c>
      <x:c r="L10" t="str">
        <x:v>Not started</x:v>
      </x:c>
      <x:c r="M10" s="53" t="n">
        <x:f>COUNTIF(I10:L10,"Done")/4</x:f>
        <x:v>0</x:v>
      </x:c>
      <x:c r="N10" t="str">
        <x:f>IF(M10=1,"Completed",IF(M10&gt;0,"In progress","Not started"))</x:f>
        <x:v>Not started</x:v>
      </x:c>
      <x:c r="O10" s="91" t="n">
        <x:v>120</x:v>
      </x:c>
      <x:c r="P10" s="91"/>
      <x:c r="Q10" s="91"/>
      <x:c r="R10" s="76" t="str"/>
    </x:row>
    <x:row r="11" ht="57" customHeight="1">
      <x:c r="A11" t="n">
        <x:v>7</x:v>
      </x:c>
      <x:c r="B11" t="n">
        <x:v>1</x:v>
      </x:c>
      <x:c r="C11" s="74" t="n">
        <x:f>Dashboard!$B$5+A11-1</x:f>
        <x:v>46313</x:v>
      </x:c>
      <x:c r="D11" s="76" t="str">
        <x:v>Week 1 review</x:v>
      </x:c>
      <x:c r="E11" s="76" t="str">
        <x:v>Revisit weakest Transformer or SFT concept</x:v>
      </x:c>
      <x:c r="F11" s="76" t="str">
        <x:v>Clean training notes and runnable examples</x:v>
      </x:c>
      <x:c r="G11" s="76" t="str">
        <x:v>Give a 5-minute Transformer/SFT explanation</x:v>
      </x:c>
      <x:c r="H11" s="76" t="str">
        <x:v>Set Week 2 priorities and confidence</x:v>
      </x:c>
      <x:c r="I11" t="str">
        <x:v>Not started</x:v>
      </x:c>
      <x:c r="J11" t="str">
        <x:v>Not started</x:v>
      </x:c>
      <x:c r="K11" t="str">
        <x:v>Not started</x:v>
      </x:c>
      <x:c r="L11" t="str">
        <x:v>Not started</x:v>
      </x:c>
      <x:c r="M11" s="53" t="n">
        <x:f>COUNTIF(I11:L11,"Done")/4</x:f>
        <x:v>0</x:v>
      </x:c>
      <x:c r="N11" t="str">
        <x:f>IF(M11=1,"Completed",IF(M11&gt;0,"In progress","Not started"))</x:f>
        <x:v>Not started</x:v>
      </x:c>
      <x:c r="O11" s="91" t="n">
        <x:v>50</x:v>
      </x:c>
      <x:c r="P11" s="91"/>
      <x:c r="Q11" s="91"/>
      <x:c r="R11" s="76" t="str"/>
    </x:row>
    <x:row r="12" ht="57" customHeight="1">
      <x:c r="A12" s="84" t="n">
        <x:v>8</x:v>
      </x:c>
      <x:c r="B12" s="84" t="n">
        <x:v>2</x:v>
      </x:c>
      <x:c r="C12" s="85" t="n">
        <x:f>Dashboard!$B$5+A12-1</x:f>
        <x:v>46314</x:v>
      </x:c>
      <x:c r="D12" s="86" t="str">
        <x:v>Domain-corpus audit</x:v>
      </x:c>
      <x:c r="E12" s="79" t="str">
        <x:v>Study data licenses, privacy, provenance and coverage</x:v>
      </x:c>
      <x:c r="F12" s="79" t="str">
        <x:v>Sample finance corpus; label quality and risk buckets</x:v>
      </x:c>
      <x:c r="G12" s="79" t="str">
        <x:v>What makes domain data useful for CPT?</x:v>
      </x:c>
      <x:c r="H12" s="79" t="str">
        <x:v>Write a corpus quality rubric</x:v>
      </x:c>
      <x:c r="I12" s="8" t="str">
        <x:v>Not started</x:v>
      </x:c>
      <x:c r="J12" s="8" t="str">
        <x:v>Not started</x:v>
      </x:c>
      <x:c r="K12" s="8" t="str">
        <x:v>Not started</x:v>
      </x:c>
      <x:c r="L12" s="8" t="str">
        <x:v>Not started</x:v>
      </x:c>
      <x:c r="M12" s="80" t="n">
        <x:f>COUNTIF(I12:L12,"Done")/4</x:f>
        <x:v>0</x:v>
      </x:c>
      <x:c r="N12" s="8" t="str">
        <x:f>IF(M12=1,"Completed",IF(M12&gt;0,"In progress","Not started"))</x:f>
        <x:v>Not started</x:v>
      </x:c>
      <x:c r="O12" s="90" t="n">
        <x:v>110</x:v>
      </x:c>
      <x:c r="P12" s="90"/>
      <x:c r="Q12" s="90"/>
      <x:c r="R12" s="79" t="str"/>
    </x:row>
    <x:row r="13" ht="57" customHeight="1">
      <x:c r="A13" t="n">
        <x:v>9</x:v>
      </x:c>
      <x:c r="B13" t="n">
        <x:v>2</x:v>
      </x:c>
      <x:c r="C13" s="74" t="n">
        <x:f>Dashboard!$B$5+A13-1</x:f>
        <x:v>46315</x:v>
      </x:c>
      <x:c r="D13" s="76" t="str">
        <x:v>Cleaning and leakage</x:v>
      </x:c>
      <x:c r="E13" s="76" t="str">
        <x:v>Review deduplication, contamination and train/test splits</x:v>
      </x:c>
      <x:c r="F13" s="76" t="str">
        <x:v>Draft a dedup + split + leakage-check pipeline</x:v>
      </x:c>
      <x:c r="G13" s="76" t="str">
        <x:v>How do you prevent benchmark leakage?</x:v>
      </x:c>
      <x:c r="H13" s="76" t="str">
        <x:v>List safeguards and possible false positives</x:v>
      </x:c>
      <x:c r="I13" t="str">
        <x:v>Not started</x:v>
      </x:c>
      <x:c r="J13" t="str">
        <x:v>Not started</x:v>
      </x:c>
      <x:c r="K13" t="str">
        <x:v>Not started</x:v>
      </x:c>
      <x:c r="L13" t="str">
        <x:v>Not started</x:v>
      </x:c>
      <x:c r="M13" s="53" t="n">
        <x:f>COUNTIF(I13:L13,"Done")/4</x:f>
        <x:v>0</x:v>
      </x:c>
      <x:c r="N13" t="str">
        <x:f>IF(M13=1,"Completed",IF(M13&gt;0,"In progress","Not started"))</x:f>
        <x:v>Not started</x:v>
      </x:c>
      <x:c r="O13" s="91" t="n">
        <x:v>110</x:v>
      </x:c>
      <x:c r="P13" s="91"/>
      <x:c r="Q13" s="91"/>
      <x:c r="R13" s="76" t="str"/>
    </x:row>
    <x:row r="14" ht="57" customHeight="1">
      <x:c r="A14" t="n">
        <x:v>10</x:v>
      </x:c>
      <x:c r="B14" t="n">
        <x:v>2</x:v>
      </x:c>
      <x:c r="C14" s="74" t="n">
        <x:f>Dashboard!$B$5+A14-1</x:f>
        <x:v>46316</x:v>
      </x:c>
      <x:c r="D14" s="76" t="str">
        <x:v>CPT vs SFT vs RAG</x:v>
      </x:c>
      <x:c r="E14" s="76" t="str">
        <x:v>Review purpose and cost of each adaptation method</x:v>
      </x:c>
      <x:c r="F14" s="76" t="str">
        <x:v>Estimate tokens, steps and compute for an 8B CPT run</x:v>
      </x:c>
      <x:c r="G14" s="76" t="str">
        <x:v>When should you skip CPT?</x:v>
      </x:c>
      <x:c r="H14" s="76" t="str">
        <x:v>Write a decision matrix with assumptions</x:v>
      </x:c>
      <x:c r="I14" t="str">
        <x:v>Not started</x:v>
      </x:c>
      <x:c r="J14" t="str">
        <x:v>Not started</x:v>
      </x:c>
      <x:c r="K14" t="str">
        <x:v>Not started</x:v>
      </x:c>
      <x:c r="L14" t="str">
        <x:v>Not started</x:v>
      </x:c>
      <x:c r="M14" s="53" t="n">
        <x:f>COUNTIF(I14:L14,"Done")/4</x:f>
        <x:v>0</x:v>
      </x:c>
      <x:c r="N14" t="str">
        <x:f>IF(M14=1,"Completed",IF(M14&gt;0,"In progress","Not started"))</x:f>
        <x:v>Not started</x:v>
      </x:c>
      <x:c r="O14" s="91" t="n">
        <x:v>110</x:v>
      </x:c>
      <x:c r="P14" s="91"/>
      <x:c r="Q14" s="91"/>
      <x:c r="R14" s="76" t="str"/>
    </x:row>
    <x:row r="15" ht="57" customHeight="1">
      <x:c r="A15" t="n">
        <x:v>11</x:v>
      </x:c>
      <x:c r="B15" t="n">
        <x:v>2</x:v>
      </x:c>
      <x:c r="C15" s="74" t="n">
        <x:f>Dashboard!$B$5+A15-1</x:f>
        <x:v>46317</x:v>
      </x:c>
      <x:c r="D15" s="76" t="str">
        <x:v>Instruction data design</x:v>
      </x:c>
      <x:c r="E15" s="76" t="str">
        <x:v>Review instruction schemas, diversity and annotation QA</x:v>
      </x:c>
      <x:c r="F15" s="76" t="str">
        <x:v>Design 100K-example SFT filtering/splitting plan</x:v>
      </x:c>
      <x:c r="G15" s="76" t="str">
        <x:v>How do you prevent templated answers?</x:v>
      </x:c>
      <x:c r="H15" s="76" t="str">
        <x:v>List data quality gates</x:v>
      </x:c>
      <x:c r="I15" t="str">
        <x:v>Not started</x:v>
      </x:c>
      <x:c r="J15" t="str">
        <x:v>Not started</x:v>
      </x:c>
      <x:c r="K15" t="str">
        <x:v>Not started</x:v>
      </x:c>
      <x:c r="L15" t="str">
        <x:v>Not started</x:v>
      </x:c>
      <x:c r="M15" s="53" t="n">
        <x:f>COUNTIF(I15:L15,"Done")/4</x:f>
        <x:v>0</x:v>
      </x:c>
      <x:c r="N15" t="str">
        <x:f>IF(M15=1,"Completed",IF(M15&gt;0,"In progress","Not started"))</x:f>
        <x:v>Not started</x:v>
      </x:c>
      <x:c r="O15" s="91" t="n">
        <x:v>110</x:v>
      </x:c>
      <x:c r="P15" s="91"/>
      <x:c r="Q15" s="91"/>
      <x:c r="R15" s="76" t="str"/>
    </x:row>
    <x:row r="16" ht="57" customHeight="1">
      <x:c r="A16" t="n">
        <x:v>12</x:v>
      </x:c>
      <x:c r="B16" t="n">
        <x:v>2</x:v>
      </x:c>
      <x:c r="C16" s="74" t="n">
        <x:f>Dashboard!$B$5+A16-1</x:f>
        <x:v>46318</x:v>
      </x:c>
      <x:c r="D16" s="76" t="str">
        <x:v>Mixing and forgetting</x:v>
      </x:c>
      <x:c r="E16" s="76" t="str">
        <x:v>Study general/domain token mixes and forgetting</x:v>
      </x:c>
      <x:c r="F16" s="76" t="str">
        <x:v>Design 3-way data-mix ablation with controls</x:v>
      </x:c>
      <x:c r="G16" s="76" t="str">
        <x:v>How would you measure loss of general ability?</x:v>
      </x:c>
      <x:c r="H16" s="76" t="str">
        <x:v>Choose retention metrics and stop criteria</x:v>
      </x:c>
      <x:c r="I16" t="str">
        <x:v>Not started</x:v>
      </x:c>
      <x:c r="J16" t="str">
        <x:v>Not started</x:v>
      </x:c>
      <x:c r="K16" t="str">
        <x:v>Not started</x:v>
      </x:c>
      <x:c r="L16" t="str">
        <x:v>Not started</x:v>
      </x:c>
      <x:c r="M16" s="53" t="n">
        <x:f>COUNTIF(I16:L16,"Done")/4</x:f>
        <x:v>0</x:v>
      </x:c>
      <x:c r="N16" t="str">
        <x:f>IF(M16=1,"Completed",IF(M16&gt;0,"In progress","Not started"))</x:f>
        <x:v>Not started</x:v>
      </x:c>
      <x:c r="O16" s="91" t="n">
        <x:v>110</x:v>
      </x:c>
      <x:c r="P16" s="91"/>
      <x:c r="Q16" s="91"/>
      <x:c r="R16" s="76" t="str"/>
    </x:row>
    <x:row r="17" ht="57" customHeight="1">
      <x:c r="A17" t="n">
        <x:v>13</x:v>
      </x:c>
      <x:c r="B17" t="n">
        <x:v>2</x:v>
      </x:c>
      <x:c r="C17" s="74" t="n">
        <x:f>Dashboard!$B$5+A17-1</x:f>
        <x:v>46319</x:v>
      </x:c>
      <x:c r="D17" s="76" t="str">
        <x:v>End-to-end pipeline</x:v>
      </x:c>
      <x:c r="E17" s="76" t="str">
        <x:v>Review training stages and release/eval gates</x:v>
      </x:c>
      <x:c r="F17" s="76" t="str">
        <x:v>Sketch financial LLM: baseline → CPT → SFT → evaluate</x:v>
      </x:c>
      <x:c r="G17" s="76" t="str">
        <x:v>Defend stage order under 8×H100 constraints</x:v>
      </x:c>
      <x:c r="H17" s="76" t="str">
        <x:v>Create a one-page system design</x:v>
      </x:c>
      <x:c r="I17" t="str">
        <x:v>Not started</x:v>
      </x:c>
      <x:c r="J17" t="str">
        <x:v>Not started</x:v>
      </x:c>
      <x:c r="K17" t="str">
        <x:v>Not started</x:v>
      </x:c>
      <x:c r="L17" t="str">
        <x:v>Not started</x:v>
      </x:c>
      <x:c r="M17" s="53" t="n">
        <x:f>COUNTIF(I17:L17,"Done")/4</x:f>
        <x:v>0</x:v>
      </x:c>
      <x:c r="N17" t="str">
        <x:f>IF(M17=1,"Completed",IF(M17&gt;0,"In progress","Not started"))</x:f>
        <x:v>Not started</x:v>
      </x:c>
      <x:c r="O17" s="91" t="n">
        <x:v>120</x:v>
      </x:c>
      <x:c r="P17" s="91"/>
      <x:c r="Q17" s="91"/>
      <x:c r="R17" s="76" t="str"/>
    </x:row>
    <x:row r="18" ht="57" customHeight="1">
      <x:c r="A18" t="n">
        <x:v>14</x:v>
      </x:c>
      <x:c r="B18" t="n">
        <x:v>2</x:v>
      </x:c>
      <x:c r="C18" s="74" t="n">
        <x:f>Dashboard!$B$5+A18-1</x:f>
        <x:v>46320</x:v>
      </x:c>
      <x:c r="D18" s="76" t="str">
        <x:v>Week 2 design mock</x:v>
      </x:c>
      <x:c r="E18" s="76" t="str">
        <x:v>Review the financial LLM prompt and assumptions</x:v>
      </x:c>
      <x:c r="F18" s="76" t="str">
        <x:v>Refine architecture, budget and dataset plan</x:v>
      </x:c>
      <x:c r="G18" s="76" t="str">
        <x:v>Deliver a 10-minute domain-model design answer</x:v>
      </x:c>
      <x:c r="H18" s="76" t="str">
        <x:v>Log feedback and prioritize 3 gaps</x:v>
      </x:c>
      <x:c r="I18" t="str">
        <x:v>Not started</x:v>
      </x:c>
      <x:c r="J18" t="str">
        <x:v>Not started</x:v>
      </x:c>
      <x:c r="K18" t="str">
        <x:v>Not started</x:v>
      </x:c>
      <x:c r="L18" t="str">
        <x:v>Not started</x:v>
      </x:c>
      <x:c r="M18" s="53" t="n">
        <x:f>COUNTIF(I18:L18,"Done")/4</x:f>
        <x:v>0</x:v>
      </x:c>
      <x:c r="N18" t="str">
        <x:f>IF(M18=1,"Completed",IF(M18&gt;0,"In progress","Not started"))</x:f>
        <x:v>Not started</x:v>
      </x:c>
      <x:c r="O18" s="91" t="n">
        <x:v>50</x:v>
      </x:c>
      <x:c r="P18" s="91"/>
      <x:c r="Q18" s="91"/>
      <x:c r="R18" s="76" t="str"/>
    </x:row>
    <x:row r="19" ht="57" customHeight="1">
      <x:c r="A19" s="84" t="n">
        <x:v>15</x:v>
      </x:c>
      <x:c r="B19" s="84" t="n">
        <x:v>3</x:v>
      </x:c>
      <x:c r="C19" s="85" t="n">
        <x:f>Dashboard!$B$5+A19-1</x:f>
        <x:v>46321</x:v>
      </x:c>
      <x:c r="D19" s="86" t="str">
        <x:v>Preference data quality</x:v>
      </x:c>
      <x:c r="E19" s="79" t="str">
        <x:v>Review chosen/rejected pairs, rater noise and tie cases</x:v>
      </x:c>
      <x:c r="F19" s="79" t="str">
        <x:v>Draft a preference data schema and QA checks</x:v>
      </x:c>
      <x:c r="G19" s="79" t="str">
        <x:v>How do you reduce preference label bias?</x:v>
      </x:c>
      <x:c r="H19" s="79" t="str">
        <x:v>List disagreement and sampling checks</x:v>
      </x:c>
      <x:c r="I19" s="8" t="str">
        <x:v>Not started</x:v>
      </x:c>
      <x:c r="J19" s="8" t="str">
        <x:v>Not started</x:v>
      </x:c>
      <x:c r="K19" s="8" t="str">
        <x:v>Not started</x:v>
      </x:c>
      <x:c r="L19" s="8" t="str">
        <x:v>Not started</x:v>
      </x:c>
      <x:c r="M19" s="80" t="n">
        <x:f>COUNTIF(I19:L19,"Done")/4</x:f>
        <x:v>0</x:v>
      </x:c>
      <x:c r="N19" s="8" t="str">
        <x:f>IF(M19=1,"Completed",IF(M19&gt;0,"In progress","Not started"))</x:f>
        <x:v>Not started</x:v>
      </x:c>
      <x:c r="O19" s="90" t="n">
        <x:v>110</x:v>
      </x:c>
      <x:c r="P19" s="90"/>
      <x:c r="Q19" s="90"/>
      <x:c r="R19" s="79" t="str"/>
    </x:row>
    <x:row r="20" ht="57" customHeight="1">
      <x:c r="A20" t="n">
        <x:v>16</x:v>
      </x:c>
      <x:c r="B20" t="n">
        <x:v>3</x:v>
      </x:c>
      <x:c r="C20" s="74" t="n">
        <x:f>Dashboard!$B$5+A20-1</x:f>
        <x:v>46322</x:v>
      </x:c>
      <x:c r="D20" s="76" t="str">
        <x:v>DPO objective</x:v>
      </x:c>
      <x:c r="E20" s="76" t="str">
        <x:v>Study log-ratio intuition, β and reference policy</x:v>
      </x:c>
      <x:c r="F20" s="76" t="str">
        <x:v>Derive DPO terms and verify dimensions</x:v>
      </x:c>
      <x:c r="G20" s="76" t="str">
        <x:v>Compare DPO and reward-model + PPO</x:v>
      </x:c>
      <x:c r="H20" s="76" t="str">
        <x:v>Write a 90-second intuitive explanation</x:v>
      </x:c>
      <x:c r="I20" t="str">
        <x:v>Not started</x:v>
      </x:c>
      <x:c r="J20" t="str">
        <x:v>Not started</x:v>
      </x:c>
      <x:c r="K20" t="str">
        <x:v>Not started</x:v>
      </x:c>
      <x:c r="L20" t="str">
        <x:v>Not started</x:v>
      </x:c>
      <x:c r="M20" s="53" t="n">
        <x:f>COUNTIF(I20:L20,"Done")/4</x:f>
        <x:v>0</x:v>
      </x:c>
      <x:c r="N20" t="str">
        <x:f>IF(M20=1,"Completed",IF(M20&gt;0,"In progress","Not started"))</x:f>
        <x:v>Not started</x:v>
      </x:c>
      <x:c r="O20" s="91" t="n">
        <x:v>110</x:v>
      </x:c>
      <x:c r="P20" s="91"/>
      <x:c r="Q20" s="91"/>
      <x:c r="R20" s="76" t="str"/>
    </x:row>
    <x:row r="21" ht="57" customHeight="1">
      <x:c r="A21" t="n">
        <x:v>17</x:v>
      </x:c>
      <x:c r="B21" t="n">
        <x:v>3</x:v>
      </x:c>
      <x:c r="C21" s="74" t="n">
        <x:f>Dashboard!$B$5+A21-1</x:f>
        <x:v>46323</x:v>
      </x:c>
      <x:c r="D21" s="76" t="str">
        <x:v>DPO implementation</x:v>
      </x:c>
      <x:c r="E21" s="76" t="str">
        <x:v>Review training hyperparameters and data formatting</x:v>
      </x:c>
      <x:c r="F21" s="76" t="str">
        <x:v>Configure a tiny DPO experiment with validation</x:v>
      </x:c>
      <x:c r="G21" s="76" t="str">
        <x:v>Debug over-optimization or response shortening</x:v>
      </x:c>
      <x:c r="H21" s="76" t="str">
        <x:v>Record chosen/rejected quality checks</x:v>
      </x:c>
      <x:c r="I21" t="str">
        <x:v>Not started</x:v>
      </x:c>
      <x:c r="J21" t="str">
        <x:v>Not started</x:v>
      </x:c>
      <x:c r="K21" t="str">
        <x:v>Not started</x:v>
      </x:c>
      <x:c r="L21" t="str">
        <x:v>Not started</x:v>
      </x:c>
      <x:c r="M21" s="53" t="n">
        <x:f>COUNTIF(I21:L21,"Done")/4</x:f>
        <x:v>0</x:v>
      </x:c>
      <x:c r="N21" t="str">
        <x:f>IF(M21=1,"Completed",IF(M21&gt;0,"In progress","Not started"))</x:f>
        <x:v>Not started</x:v>
      </x:c>
      <x:c r="O21" s="91" t="n">
        <x:v>110</x:v>
      </x:c>
      <x:c r="P21" s="91"/>
      <x:c r="Q21" s="91"/>
      <x:c r="R21" s="76" t="str"/>
    </x:row>
    <x:row r="22" ht="57" customHeight="1">
      <x:c r="A22" t="n">
        <x:v>18</x:v>
      </x:c>
      <x:c r="B22" t="n">
        <x:v>3</x:v>
      </x:c>
      <x:c r="C22" s="74" t="n">
        <x:f>Dashboard!$B$5+A22-1</x:f>
        <x:v>46324</x:v>
      </x:c>
      <x:c r="D22" s="76" t="str">
        <x:v>Reward models</x:v>
      </x:c>
      <x:c r="E22" s="76" t="str">
        <x:v>Review Bradley–Terry loss and calibration</x:v>
      </x:c>
      <x:c r="F22" s="76" t="str">
        <x:v>Design a reward validation and stress-test set</x:v>
      </x:c>
      <x:c r="G22" s="76" t="str">
        <x:v>What can go wrong with reward model training?</x:v>
      </x:c>
      <x:c r="H22" s="76" t="str">
        <x:v>Document reward-hacking patterns</x:v>
      </x:c>
      <x:c r="I22" t="str">
        <x:v>Not started</x:v>
      </x:c>
      <x:c r="J22" t="str">
        <x:v>Not started</x:v>
      </x:c>
      <x:c r="K22" t="str">
        <x:v>Not started</x:v>
      </x:c>
      <x:c r="L22" t="str">
        <x:v>Not started</x:v>
      </x:c>
      <x:c r="M22" s="53" t="n">
        <x:f>COUNTIF(I22:L22,"Done")/4</x:f>
        <x:v>0</x:v>
      </x:c>
      <x:c r="N22" t="str">
        <x:f>IF(M22=1,"Completed",IF(M22&gt;0,"In progress","Not started"))</x:f>
        <x:v>Not started</x:v>
      </x:c>
      <x:c r="O22" s="91" t="n">
        <x:v>110</x:v>
      </x:c>
      <x:c r="P22" s="91"/>
      <x:c r="Q22" s="91"/>
      <x:c r="R22" s="76" t="str"/>
    </x:row>
    <x:row r="23" ht="57" customHeight="1">
      <x:c r="A23" t="n">
        <x:v>19</x:v>
      </x:c>
      <x:c r="B23" t="n">
        <x:v>3</x:v>
      </x:c>
      <x:c r="C23" s="74" t="n">
        <x:f>Dashboard!$B$5+A23-1</x:f>
        <x:v>46325</x:v>
      </x:c>
      <x:c r="D23" s="76" t="str">
        <x:v>PPO for LLMs</x:v>
      </x:c>
      <x:c r="E23" s="76" t="str">
        <x:v>Review policies, value heads, advantage, clipping, KL</x:v>
      </x:c>
      <x:c r="F23" s="76" t="str">
        <x:v>Walk through one PPO update with pseudocode</x:v>
      </x:c>
      <x:c r="G23" s="76" t="str">
        <x:v>Explain on-policy sampling and reference KL</x:v>
      </x:c>
      <x:c r="H23" s="76" t="str">
        <x:v>Note instability and cost drivers</x:v>
      </x:c>
      <x:c r="I23" t="str">
        <x:v>Not started</x:v>
      </x:c>
      <x:c r="J23" t="str">
        <x:v>Not started</x:v>
      </x:c>
      <x:c r="K23" t="str">
        <x:v>Not started</x:v>
      </x:c>
      <x:c r="L23" t="str">
        <x:v>Not started</x:v>
      </x:c>
      <x:c r="M23" s="53" t="n">
        <x:f>COUNTIF(I23:L23,"Done")/4</x:f>
        <x:v>0</x:v>
      </x:c>
      <x:c r="N23" t="str">
        <x:f>IF(M23=1,"Completed",IF(M23&gt;0,"In progress","Not started"))</x:f>
        <x:v>Not started</x:v>
      </x:c>
      <x:c r="O23" s="91" t="n">
        <x:v>110</x:v>
      </x:c>
      <x:c r="P23" s="91"/>
      <x:c r="Q23" s="91"/>
      <x:c r="R23" s="76" t="str"/>
    </x:row>
    <x:row r="24" ht="57" customHeight="1">
      <x:c r="A24" t="n">
        <x:v>20</x:v>
      </x:c>
      <x:c r="B24" t="n">
        <x:v>3</x:v>
      </x:c>
      <x:c r="C24" s="74" t="n">
        <x:f>Dashboard!$B$5+A24-1</x:f>
        <x:v>46326</x:v>
      </x:c>
      <x:c r="D24" s="76" t="str">
        <x:v>GRPO and alternatives</x:v>
      </x:c>
      <x:c r="E24" s="76" t="str">
        <x:v>Review group-relative baselines, sampling variance, KL</x:v>
      </x:c>
      <x:c r="F24" s="76" t="str">
        <x:v>Write toy grouped reward and normalized advantage code</x:v>
      </x:c>
      <x:c r="G24" s="76" t="str">
        <x:v>Compare GRPO, PPO and DPO</x:v>
      </x:c>
      <x:c r="H24" s="76" t="str">
        <x:v>Make an algorithm selection table</x:v>
      </x:c>
      <x:c r="I24" t="str">
        <x:v>Not started</x:v>
      </x:c>
      <x:c r="J24" t="str">
        <x:v>Not started</x:v>
      </x:c>
      <x:c r="K24" t="str">
        <x:v>Not started</x:v>
      </x:c>
      <x:c r="L24" t="str">
        <x:v>Not started</x:v>
      </x:c>
      <x:c r="M24" s="53" t="n">
        <x:f>COUNTIF(I24:L24,"Done")/4</x:f>
        <x:v>0</x:v>
      </x:c>
      <x:c r="N24" t="str">
        <x:f>IF(M24=1,"Completed",IF(M24&gt;0,"In progress","Not started"))</x:f>
        <x:v>Not started</x:v>
      </x:c>
      <x:c r="O24" s="91" t="n">
        <x:v>120</x:v>
      </x:c>
      <x:c r="P24" s="91"/>
      <x:c r="Q24" s="91"/>
      <x:c r="R24" s="76" t="str"/>
    </x:row>
    <x:row r="25" ht="57" customHeight="1">
      <x:c r="A25" t="n">
        <x:v>21</x:v>
      </x:c>
      <x:c r="B25" t="n">
        <x:v>3</x:v>
      </x:c>
      <x:c r="C25" s="74" t="n">
        <x:f>Dashboard!$B$5+A25-1</x:f>
        <x:v>46327</x:v>
      </x:c>
      <x:c r="D25" s="76" t="str">
        <x:v>Week 3 algorithm mock</x:v>
      </x:c>
      <x:c r="E25" s="76" t="str">
        <x:v>Review 3 challenging loss/objective concepts</x:v>
      </x:c>
      <x:c r="F25" s="76" t="str">
        <x:v>Update post-training comparison notes</x:v>
      </x:c>
      <x:c r="G25" s="76" t="str">
        <x:v>Answer a DPO/PPO/GRPO tradeoff prompt aloud</x:v>
      </x:c>
      <x:c r="H25" s="76" t="str">
        <x:v>Write top 3 points to improve</x:v>
      </x:c>
      <x:c r="I25" t="str">
        <x:v>Not started</x:v>
      </x:c>
      <x:c r="J25" t="str">
        <x:v>Not started</x:v>
      </x:c>
      <x:c r="K25" t="str">
        <x:v>Not started</x:v>
      </x:c>
      <x:c r="L25" t="str">
        <x:v>Not started</x:v>
      </x:c>
      <x:c r="M25" s="53" t="n">
        <x:f>COUNTIF(I25:L25,"Done")/4</x:f>
        <x:v>0</x:v>
      </x:c>
      <x:c r="N25" t="str">
        <x:f>IF(M25=1,"Completed",IF(M25&gt;0,"In progress","Not started"))</x:f>
        <x:v>Not started</x:v>
      </x:c>
      <x:c r="O25" s="91" t="n">
        <x:v>50</x:v>
      </x:c>
      <x:c r="P25" s="91"/>
      <x:c r="Q25" s="91"/>
      <x:c r="R25" s="76" t="str"/>
    </x:row>
    <x:row r="26" ht="57" customHeight="1">
      <x:c r="A26" s="84" t="n">
        <x:v>22</x:v>
      </x:c>
      <x:c r="B26" s="84" t="n">
        <x:v>4</x:v>
      </x:c>
      <x:c r="C26" s="85" t="n">
        <x:f>Dashboard!$B$5+A26-1</x:f>
        <x:v>46328</x:v>
      </x:c>
      <x:c r="D26" s="86" t="str">
        <x:v>FSDP and ZeRO</x:v>
      </x:c>
      <x:c r="E26" s="79" t="str">
        <x:v>Study parameter, gradient and optimizer sharding</x:v>
      </x:c>
      <x:c r="F26" s="79" t="str">
        <x:v>Draw ZeRO 1/2/3 and FSDP memory breakdown</x:v>
      </x:c>
      <x:c r="G26" s="79" t="str">
        <x:v>Why choose FSDP over data parallel?</x:v>
      </x:c>
      <x:c r="H26" s="79" t="str">
        <x:v>Record communication vs memory tradeoffs</x:v>
      </x:c>
      <x:c r="I26" s="8" t="str">
        <x:v>Not started</x:v>
      </x:c>
      <x:c r="J26" s="8" t="str">
        <x:v>Not started</x:v>
      </x:c>
      <x:c r="K26" s="8" t="str">
        <x:v>Not started</x:v>
      </x:c>
      <x:c r="L26" s="8" t="str">
        <x:v>Not started</x:v>
      </x:c>
      <x:c r="M26" s="80" t="n">
        <x:f>COUNTIF(I26:L26,"Done")/4</x:f>
        <x:v>0</x:v>
      </x:c>
      <x:c r="N26" s="8" t="str">
        <x:f>IF(M26=1,"Completed",IF(M26&gt;0,"In progress","Not started"))</x:f>
        <x:v>Not started</x:v>
      </x:c>
      <x:c r="O26" s="90" t="n">
        <x:v>110</x:v>
      </x:c>
      <x:c r="P26" s="90"/>
      <x:c r="Q26" s="90"/>
      <x:c r="R26" s="79" t="str"/>
    </x:row>
    <x:row r="27" ht="57" customHeight="1">
      <x:c r="A27" t="n">
        <x:v>23</x:v>
      </x:c>
      <x:c r="B27" t="n">
        <x:v>4</x:v>
      </x:c>
      <x:c r="C27" s="74" t="n">
        <x:f>Dashboard!$B$5+A27-1</x:f>
        <x:v>46329</x:v>
      </x:c>
      <x:c r="D27" s="76" t="str">
        <x:v>Memory budget</x:v>
      </x:c>
      <x:c r="E27" s="76" t="str">
        <x:v>Review activations, bf16 weights, optimizer states</x:v>
      </x:c>
      <x:c r="F27" s="76" t="str">
        <x:v>Estimate memory for full vs LoRA 8B training</x:v>
      </x:c>
      <x:c r="G27" s="76" t="str">
        <x:v>Diagnose OOM and propose interventions</x:v>
      </x:c>
      <x:c r="H27" s="76" t="str">
        <x:v>Write a memory profiling checklist</x:v>
      </x:c>
      <x:c r="I27" t="str">
        <x:v>Not started</x:v>
      </x:c>
      <x:c r="J27" t="str">
        <x:v>Not started</x:v>
      </x:c>
      <x:c r="K27" t="str">
        <x:v>Not started</x:v>
      </x:c>
      <x:c r="L27" t="str">
        <x:v>Not started</x:v>
      </x:c>
      <x:c r="M27" s="53" t="n">
        <x:f>COUNTIF(I27:L27,"Done")/4</x:f>
        <x:v>0</x:v>
      </x:c>
      <x:c r="N27" t="str">
        <x:f>IF(M27=1,"Completed",IF(M27&gt;0,"In progress","Not started"))</x:f>
        <x:v>Not started</x:v>
      </x:c>
      <x:c r="O27" s="91" t="n">
        <x:v>110</x:v>
      </x:c>
      <x:c r="P27" s="91"/>
      <x:c r="Q27" s="91"/>
      <x:c r="R27" s="76" t="str"/>
    </x:row>
    <x:row r="28" ht="57" customHeight="1">
      <x:c r="A28" t="n">
        <x:v>24</x:v>
      </x:c>
      <x:c r="B28" t="n">
        <x:v>4</x:v>
      </x:c>
      <x:c r="C28" s="74" t="n">
        <x:f>Dashboard!$B$5+A28-1</x:f>
        <x:v>46330</x:v>
      </x:c>
      <x:c r="D28" s="76" t="str">
        <x:v>Efficiency and packing</x:v>
      </x:c>
      <x:c r="E28" s="76" t="str">
        <x:v>Review throughput, padding, sequence packing, attention kernels</x:v>
      </x:c>
      <x:c r="F28" s="76" t="str">
        <x:v>Estimate tokens/sec and utilization bottlenecks</x:v>
      </x:c>
      <x:c r="G28" s="76" t="str">
        <x:v>What tradeoff does packing introduce?</x:v>
      </x:c>
      <x:c r="H28" s="76" t="str">
        <x:v>Document 3 throughput experiments</x:v>
      </x:c>
      <x:c r="I28" t="str">
        <x:v>Not started</x:v>
      </x:c>
      <x:c r="J28" t="str">
        <x:v>Not started</x:v>
      </x:c>
      <x:c r="K28" t="str">
        <x:v>Not started</x:v>
      </x:c>
      <x:c r="L28" t="str">
        <x:v>Not started</x:v>
      </x:c>
      <x:c r="M28" s="53" t="n">
        <x:f>COUNTIF(I28:L28,"Done")/4</x:f>
        <x:v>0</x:v>
      </x:c>
      <x:c r="N28" t="str">
        <x:f>IF(M28=1,"Completed",IF(M28&gt;0,"In progress","Not started"))</x:f>
        <x:v>Not started</x:v>
      </x:c>
      <x:c r="O28" s="91" t="n">
        <x:v>110</x:v>
      </x:c>
      <x:c r="P28" s="91"/>
      <x:c r="Q28" s="91"/>
      <x:c r="R28" s="76" t="str"/>
    </x:row>
    <x:row r="29" ht="57" customHeight="1">
      <x:c r="A29" t="n">
        <x:v>25</x:v>
      </x:c>
      <x:c r="B29" t="n">
        <x:v>4</x:v>
      </x:c>
      <x:c r="C29" s="74" t="n">
        <x:f>Dashboard!$B$5+A29-1</x:f>
        <x:v>46331</x:v>
      </x:c>
      <x:c r="D29" s="76" t="str">
        <x:v>Training instabilities</x:v>
      </x:c>
      <x:c r="E29" s="76" t="str">
        <x:v>Review NaNs, spikes, outlier batches and optimizer states</x:v>
      </x:c>
      <x:c r="F29" s="76" t="str">
        <x:v>Create a loss-spike troubleshooting decision tree</x:v>
      </x:c>
      <x:c r="G29" s="76" t="str">
        <x:v>Your run diverges at step 50K. What now?</x:v>
      </x:c>
      <x:c r="H29" s="76" t="str">
        <x:v>Record telemetry and isolation steps</x:v>
      </x:c>
      <x:c r="I29" t="str">
        <x:v>Not started</x:v>
      </x:c>
      <x:c r="J29" t="str">
        <x:v>Not started</x:v>
      </x:c>
      <x:c r="K29" t="str">
        <x:v>Not started</x:v>
      </x:c>
      <x:c r="L29" t="str">
        <x:v>Not started</x:v>
      </x:c>
      <x:c r="M29" s="53" t="n">
        <x:f>COUNTIF(I29:L29,"Done")/4</x:f>
        <x:v>0</x:v>
      </x:c>
      <x:c r="N29" t="str">
        <x:f>IF(M29=1,"Completed",IF(M29&gt;0,"In progress","Not started"))</x:f>
        <x:v>Not started</x:v>
      </x:c>
      <x:c r="O29" s="91" t="n">
        <x:v>110</x:v>
      </x:c>
      <x:c r="P29" s="91"/>
      <x:c r="Q29" s="91"/>
      <x:c r="R29" s="76" t="str"/>
    </x:row>
    <x:row r="30" ht="57" customHeight="1">
      <x:c r="A30" t="n">
        <x:v>26</x:v>
      </x:c>
      <x:c r="B30" t="n">
        <x:v>4</x:v>
      </x:c>
      <x:c r="C30" s="74" t="n">
        <x:f>Dashboard!$B$5+A30-1</x:f>
        <x:v>46332</x:v>
      </x:c>
      <x:c r="D30" s="76" t="str">
        <x:v>Reproducibility</x:v>
      </x:c>
      <x:c r="E30" s="76" t="str">
        <x:v>Review seeds, deterministic limits, checkpoints and logs</x:v>
      </x:c>
      <x:c r="F30" s="76" t="str">
        <x:v>Draft a resumable run config and artifact policy</x:v>
      </x:c>
      <x:c r="G30" s="76" t="str">
        <x:v>Why might resumed training differ?</x:v>
      </x:c>
      <x:c r="H30" s="76" t="str">
        <x:v>Write a reproducibility checklist</x:v>
      </x:c>
      <x:c r="I30" t="str">
        <x:v>Not started</x:v>
      </x:c>
      <x:c r="J30" t="str">
        <x:v>Not started</x:v>
      </x:c>
      <x:c r="K30" t="str">
        <x:v>Not started</x:v>
      </x:c>
      <x:c r="L30" t="str">
        <x:v>Not started</x:v>
      </x:c>
      <x:c r="M30" s="53" t="n">
        <x:f>COUNTIF(I30:L30,"Done")/4</x:f>
        <x:v>0</x:v>
      </x:c>
      <x:c r="N30" t="str">
        <x:f>IF(M30=1,"Completed",IF(M30&gt;0,"In progress","Not started"))</x:f>
        <x:v>Not started</x:v>
      </x:c>
      <x:c r="O30" s="91" t="n">
        <x:v>110</x:v>
      </x:c>
      <x:c r="P30" s="91"/>
      <x:c r="Q30" s="91"/>
      <x:c r="R30" s="76" t="str"/>
    </x:row>
    <x:row r="31" ht="57" customHeight="1">
      <x:c r="A31" t="n">
        <x:v>27</x:v>
      </x:c>
      <x:c r="B31" t="n">
        <x:v>4</x:v>
      </x:c>
      <x:c r="C31" s="74" t="n">
        <x:f>Dashboard!$B$5+A31-1</x:f>
        <x:v>46333</x:v>
      </x:c>
      <x:c r="D31" s="76" t="str">
        <x:v>8×H100 training plan</x:v>
      </x:c>
      <x:c r="E31" s="76" t="str">
        <x:v>Review sequence length, global batch and accumulation</x:v>
      </x:c>
      <x:c r="F31" s="76" t="str">
        <x:v>Build compute-budget estimate for CPT and SFT</x:v>
      </x:c>
      <x:c r="G31" s="76" t="str">
        <x:v>Defend batch size, LR and checkpoint frequency</x:v>
      </x:c>
      <x:c r="H31" s="76" t="str">
        <x:v>Write fallback plan if compute doubles</x:v>
      </x:c>
      <x:c r="I31" t="str">
        <x:v>Not started</x:v>
      </x:c>
      <x:c r="J31" t="str">
        <x:v>Not started</x:v>
      </x:c>
      <x:c r="K31" t="str">
        <x:v>Not started</x:v>
      </x:c>
      <x:c r="L31" t="str">
        <x:v>Not started</x:v>
      </x:c>
      <x:c r="M31" s="53" t="n">
        <x:f>COUNTIF(I31:L31,"Done")/4</x:f>
        <x:v>0</x:v>
      </x:c>
      <x:c r="N31" t="str">
        <x:f>IF(M31=1,"Completed",IF(M31&gt;0,"In progress","Not started"))</x:f>
        <x:v>Not started</x:v>
      </x:c>
      <x:c r="O31" s="91" t="n">
        <x:v>120</x:v>
      </x:c>
      <x:c r="P31" s="91"/>
      <x:c r="Q31" s="91"/>
      <x:c r="R31" s="76" t="str"/>
    </x:row>
    <x:row r="32" ht="57" customHeight="1">
      <x:c r="A32" t="n">
        <x:v>28</x:v>
      </x:c>
      <x:c r="B32" t="n">
        <x:v>4</x:v>
      </x:c>
      <x:c r="C32" s="74" t="n">
        <x:f>Dashboard!$B$5+A32-1</x:f>
        <x:v>46334</x:v>
      </x:c>
      <x:c r="D32" s="76" t="str">
        <x:v>Week 4 systems mock</x:v>
      </x:c>
      <x:c r="E32" s="76" t="str">
        <x:v>Review toughest systems failure mode</x:v>
      </x:c>
      <x:c r="F32" s="76" t="str">
        <x:v>Consolidate profiling and stability playbook</x:v>
      </x:c>
      <x:c r="G32" s="76" t="str">
        <x:v>Practice 10-minute OOM / loss-spike mock</x:v>
      </x:c>
      <x:c r="H32" s="76" t="str">
        <x:v>Capture tradeoffs you forgot</x:v>
      </x:c>
      <x:c r="I32" t="str">
        <x:v>Not started</x:v>
      </x:c>
      <x:c r="J32" t="str">
        <x:v>Not started</x:v>
      </x:c>
      <x:c r="K32" t="str">
        <x:v>Not started</x:v>
      </x:c>
      <x:c r="L32" t="str">
        <x:v>Not started</x:v>
      </x:c>
      <x:c r="M32" s="53" t="n">
        <x:f>COUNTIF(I32:L32,"Done")/4</x:f>
        <x:v>0</x:v>
      </x:c>
      <x:c r="N32" t="str">
        <x:f>IF(M32=1,"Completed",IF(M32&gt;0,"In progress","Not started"))</x:f>
        <x:v>Not started</x:v>
      </x:c>
      <x:c r="O32" s="91" t="n">
        <x:v>50</x:v>
      </x:c>
      <x:c r="P32" s="91"/>
      <x:c r="Q32" s="91"/>
      <x:c r="R32" s="76" t="str"/>
    </x:row>
    <x:row r="33" ht="57" customHeight="1">
      <x:c r="A33" s="84" t="n">
        <x:v>29</x:v>
      </x:c>
      <x:c r="B33" s="84" t="n">
        <x:v>5</x:v>
      </x:c>
      <x:c r="C33" s="85" t="n">
        <x:f>Dashboard!$B$5+A33-1</x:f>
        <x:v>46335</x:v>
      </x:c>
      <x:c r="D33" s="86" t="str">
        <x:v>Task taxonomy and baseline</x:v>
      </x:c>
      <x:c r="E33" s="79" t="str">
        <x:v>Review finance task groups and baseline choices</x:v>
      </x:c>
      <x:c r="F33" s="79" t="str">
        <x:v>Define finance evaluation suite and base-model scores</x:v>
      </x:c>
      <x:c r="G33" s="79" t="str">
        <x:v>What metrics represent real user utility?</x:v>
      </x:c>
      <x:c r="H33" s="79" t="str">
        <x:v>Choose primary and guardrail metrics</x:v>
      </x:c>
      <x:c r="I33" s="8" t="str">
        <x:v>Not started</x:v>
      </x:c>
      <x:c r="J33" s="8" t="str">
        <x:v>Not started</x:v>
      </x:c>
      <x:c r="K33" s="8" t="str">
        <x:v>Not started</x:v>
      </x:c>
      <x:c r="L33" s="8" t="str">
        <x:v>Not started</x:v>
      </x:c>
      <x:c r="M33" s="80" t="n">
        <x:f>COUNTIF(I33:L33,"Done")/4</x:f>
        <x:v>0</x:v>
      </x:c>
      <x:c r="N33" s="8" t="str">
        <x:f>IF(M33=1,"Completed",IF(M33&gt;0,"In progress","Not started"))</x:f>
        <x:v>Not started</x:v>
      </x:c>
      <x:c r="O33" s="90" t="n">
        <x:v>110</x:v>
      </x:c>
      <x:c r="P33" s="90"/>
      <x:c r="Q33" s="90"/>
      <x:c r="R33" s="79" t="str"/>
    </x:row>
    <x:row r="34" ht="57" customHeight="1">
      <x:c r="A34" t="n">
        <x:v>30</x:v>
      </x:c>
      <x:c r="B34" t="n">
        <x:v>5</x:v>
      </x:c>
      <x:c r="C34" s="74" t="n">
        <x:f>Dashboard!$B$5+A34-1</x:f>
        <x:v>46336</x:v>
      </x:c>
      <x:c r="D34" s="76" t="str">
        <x:v>Held-out domain evaluation</x:v>
      </x:c>
      <x:c r="E34" s="76" t="str">
        <x:v>Review leakage, temporal splits, factuality and citations</x:v>
      </x:c>
      <x:c r="F34" s="76" t="str">
        <x:v>Draft hard cases requiring numeric reasoning</x:v>
      </x:c>
      <x:c r="G34" s="76" t="str">
        <x:v>How would you detect data contamination?</x:v>
      </x:c>
      <x:c r="H34" s="76" t="str">
        <x:v>Document blind eval protocol</x:v>
      </x:c>
      <x:c r="I34" t="str">
        <x:v>Not started</x:v>
      </x:c>
      <x:c r="J34" t="str">
        <x:v>Not started</x:v>
      </x:c>
      <x:c r="K34" t="str">
        <x:v>Not started</x:v>
      </x:c>
      <x:c r="L34" t="str">
        <x:v>Not started</x:v>
      </x:c>
      <x:c r="M34" s="53" t="n">
        <x:f>COUNTIF(I34:L34,"Done")/4</x:f>
        <x:v>0</x:v>
      </x:c>
      <x:c r="N34" t="str">
        <x:f>IF(M34=1,"Completed",IF(M34&gt;0,"In progress","Not started"))</x:f>
        <x:v>Not started</x:v>
      </x:c>
      <x:c r="O34" s="91" t="n">
        <x:v>110</x:v>
      </x:c>
      <x:c r="P34" s="91"/>
      <x:c r="Q34" s="91"/>
      <x:c r="R34" s="76" t="str"/>
    </x:row>
    <x:row r="35" ht="57" customHeight="1">
      <x:c r="A35" t="n">
        <x:v>31</x:v>
      </x:c>
      <x:c r="B35" t="n">
        <x:v>5</x:v>
      </x:c>
      <x:c r="C35" s="74" t="n">
        <x:f>Dashboard!$B$5+A35-1</x:f>
        <x:v>46337</x:v>
      </x:c>
      <x:c r="D35" s="76" t="str">
        <x:v>Human and LLM judges</x:v>
      </x:c>
      <x:c r="E35" s="76" t="str">
        <x:v>Review rubrics, pairwise judging, biases and agreement</x:v>
      </x:c>
      <x:c r="F35" s="76" t="str">
        <x:v>Design judge prompt and manual calibration sample</x:v>
      </x:c>
      <x:c r="G35" s="76" t="str">
        <x:v>When should a judge not be trusted?</x:v>
      </x:c>
      <x:c r="H35" s="76" t="str">
        <x:v>Write a judge validation checklist</x:v>
      </x:c>
      <x:c r="I35" t="str">
        <x:v>Not started</x:v>
      </x:c>
      <x:c r="J35" t="str">
        <x:v>Not started</x:v>
      </x:c>
      <x:c r="K35" t="str">
        <x:v>Not started</x:v>
      </x:c>
      <x:c r="L35" t="str">
        <x:v>Not started</x:v>
      </x:c>
      <x:c r="M35" s="53" t="n">
        <x:f>COUNTIF(I35:L35,"Done")/4</x:f>
        <x:v>0</x:v>
      </x:c>
      <x:c r="N35" t="str">
        <x:f>IF(M35=1,"Completed",IF(M35&gt;0,"In progress","Not started"))</x:f>
        <x:v>Not started</x:v>
      </x:c>
      <x:c r="O35" s="91" t="n">
        <x:v>110</x:v>
      </x:c>
      <x:c r="P35" s="91"/>
      <x:c r="Q35" s="91"/>
      <x:c r="R35" s="76" t="str"/>
    </x:row>
    <x:row r="36" ht="57" customHeight="1">
      <x:c r="A36" t="n">
        <x:v>32</x:v>
      </x:c>
      <x:c r="B36" t="n">
        <x:v>5</x:v>
      </x:c>
      <x:c r="C36" s="74" t="n">
        <x:f>Dashboard!$B$5+A36-1</x:f>
        <x:v>46338</x:v>
      </x:c>
      <x:c r="D36" s="76" t="str">
        <x:v>Ablations and uncertainty</x:v>
      </x:c>
      <x:c r="E36" s="76" t="str">
        <x:v>Review controlled experiments and bootstrap CIs</x:v>
      </x:c>
      <x:c r="F36" s="76" t="str">
        <x:v>Design CPT/SFT/data-mix ablation table</x:v>
      </x:c>
      <x:c r="G36" s="76" t="str">
        <x:v>How do you know a 2% gain is real?</x:v>
      </x:c>
      <x:c r="H36" s="76" t="str">
        <x:v>Plan decision thresholds</x:v>
      </x:c>
      <x:c r="I36" t="str">
        <x:v>Not started</x:v>
      </x:c>
      <x:c r="J36" t="str">
        <x:v>Not started</x:v>
      </x:c>
      <x:c r="K36" t="str">
        <x:v>Not started</x:v>
      </x:c>
      <x:c r="L36" t="str">
        <x:v>Not started</x:v>
      </x:c>
      <x:c r="M36" s="53" t="n">
        <x:f>COUNTIF(I36:L36,"Done")/4</x:f>
        <x:v>0</x:v>
      </x:c>
      <x:c r="N36" t="str">
        <x:f>IF(M36=1,"Completed",IF(M36&gt;0,"In progress","Not started"))</x:f>
        <x:v>Not started</x:v>
      </x:c>
      <x:c r="O36" s="91" t="n">
        <x:v>110</x:v>
      </x:c>
      <x:c r="P36" s="91"/>
      <x:c r="Q36" s="91"/>
      <x:c r="R36" s="76" t="str"/>
    </x:row>
    <x:row r="37" ht="57" customHeight="1">
      <x:c r="A37" t="n">
        <x:v>33</x:v>
      </x:c>
      <x:c r="B37" t="n">
        <x:v>5</x:v>
      </x:c>
      <x:c r="C37" s="74" t="n">
        <x:f>Dashboard!$B$5+A37-1</x:f>
        <x:v>46339</x:v>
      </x:c>
      <x:c r="D37" s="76" t="str">
        <x:v>Robustness and regressions</x:v>
      </x:c>
      <x:c r="E37" s="76" t="str">
        <x:v>Review OOD, refusal, format and general-skill regressions</x:v>
      </x:c>
      <x:c r="F37" s="76" t="str">
        <x:v>Create a regression taxonomy and test slices</x:v>
      </x:c>
      <x:c r="G37" s="76" t="str">
        <x:v>What if benchmark up, product quality down?</x:v>
      </x:c>
      <x:c r="H37" s="76" t="str">
        <x:v>Write debugging workflow</x:v>
      </x:c>
      <x:c r="I37" t="str">
        <x:v>Not started</x:v>
      </x:c>
      <x:c r="J37" t="str">
        <x:v>Not started</x:v>
      </x:c>
      <x:c r="K37" t="str">
        <x:v>Not started</x:v>
      </x:c>
      <x:c r="L37" t="str">
        <x:v>Not started</x:v>
      </x:c>
      <x:c r="M37" s="53" t="n">
        <x:f>COUNTIF(I37:L37,"Done")/4</x:f>
        <x:v>0</x:v>
      </x:c>
      <x:c r="N37" t="str">
        <x:f>IF(M37=1,"Completed",IF(M37&gt;0,"In progress","Not started"))</x:f>
        <x:v>Not started</x:v>
      </x:c>
      <x:c r="O37" s="91" t="n">
        <x:v>110</x:v>
      </x:c>
      <x:c r="P37" s="91"/>
      <x:c r="Q37" s="91"/>
      <x:c r="R37" s="76" t="str"/>
    </x:row>
    <x:row r="38" ht="57" customHeight="1">
      <x:c r="A38" t="n">
        <x:v>34</x:v>
      </x:c>
      <x:c r="B38" t="n">
        <x:v>5</x:v>
      </x:c>
      <x:c r="C38" s="74" t="n">
        <x:f>Dashboard!$B$5+A38-1</x:f>
        <x:v>46340</x:v>
      </x:c>
      <x:c r="D38" s="76" t="str">
        <x:v>Domain knowledge vs retrieval</x:v>
      </x:c>
      <x:c r="E38" s="76" t="str">
        <x:v>Review parametric knowledge, RAG, tools and freshness</x:v>
      </x:c>
      <x:c r="F38" s="76" t="str">
        <x:v>Design CPT+SFT vs SFT+RAG experiment</x:v>
      </x:c>
      <x:c r="G38" s="76" t="str">
        <x:v>When is RAG better than domain CPT?</x:v>
      </x:c>
      <x:c r="H38" s="76" t="str">
        <x:v>Note latency, reliability and cost tradeoffs</x:v>
      </x:c>
      <x:c r="I38" t="str">
        <x:v>Not started</x:v>
      </x:c>
      <x:c r="J38" t="str">
        <x:v>Not started</x:v>
      </x:c>
      <x:c r="K38" t="str">
        <x:v>Not started</x:v>
      </x:c>
      <x:c r="L38" t="str">
        <x:v>Not started</x:v>
      </x:c>
      <x:c r="M38" s="53" t="n">
        <x:f>COUNTIF(I38:L38,"Done")/4</x:f>
        <x:v>0</x:v>
      </x:c>
      <x:c r="N38" t="str">
        <x:f>IF(M38=1,"Completed",IF(M38&gt;0,"In progress","Not started"))</x:f>
        <x:v>Not started</x:v>
      </x:c>
      <x:c r="O38" s="91" t="n">
        <x:v>120</x:v>
      </x:c>
      <x:c r="P38" s="91"/>
      <x:c r="Q38" s="91"/>
      <x:c r="R38" s="76" t="str"/>
    </x:row>
    <x:row r="39" ht="57" customHeight="1">
      <x:c r="A39" t="n">
        <x:v>35</x:v>
      </x:c>
      <x:c r="B39" t="n">
        <x:v>5</x:v>
      </x:c>
      <x:c r="C39" s="74" t="n">
        <x:f>Dashboard!$B$5+A39-1</x:f>
        <x:v>46341</x:v>
      </x:c>
      <x:c r="D39" s="76" t="str">
        <x:v>Week 5 research memo</x:v>
      </x:c>
      <x:c r="E39" s="76" t="str">
        <x:v>Review evaluation blind spots</x:v>
      </x:c>
      <x:c r="F39" s="76" t="str">
        <x:v>Summarize evidence in a one-page research memo</x:v>
      </x:c>
      <x:c r="G39" s="76" t="str">
        <x:v>Present an experiment, result and next steps</x:v>
      </x:c>
      <x:c r="H39" s="76" t="str">
        <x:v>Record open risks and Week 6 priorities</x:v>
      </x:c>
      <x:c r="I39" t="str">
        <x:v>Not started</x:v>
      </x:c>
      <x:c r="J39" t="str">
        <x:v>Not started</x:v>
      </x:c>
      <x:c r="K39" t="str">
        <x:v>Not started</x:v>
      </x:c>
      <x:c r="L39" t="str">
        <x:v>Not started</x:v>
      </x:c>
      <x:c r="M39" s="53" t="n">
        <x:f>COUNTIF(I39:L39,"Done")/4</x:f>
        <x:v>0</x:v>
      </x:c>
      <x:c r="N39" t="str">
        <x:f>IF(M39=1,"Completed",IF(M39&gt;0,"In progress","Not started"))</x:f>
        <x:v>Not started</x:v>
      </x:c>
      <x:c r="O39" s="91" t="n">
        <x:v>50</x:v>
      </x:c>
      <x:c r="P39" s="91"/>
      <x:c r="Q39" s="91"/>
      <x:c r="R39" s="76" t="str"/>
    </x:row>
    <x:row r="40" ht="57" customHeight="1">
      <x:c r="A40" s="84" t="n">
        <x:v>36</x:v>
      </x:c>
      <x:c r="B40" s="84" t="n">
        <x:v>6</x:v>
      </x:c>
      <x:c r="C40" s="85" t="n">
        <x:f>Dashboard!$B$5+A40-1</x:f>
        <x:v>46342</x:v>
      </x:c>
      <x:c r="D40" s="86" t="str">
        <x:v>Domain-model design mock</x:v>
      </x:c>
      <x:c r="E40" s="79" t="str">
        <x:v>Review Week 2 architecture and metrics</x:v>
      </x:c>
      <x:c r="F40" s="79" t="str">
        <x:v>Prepare a one-page financial training design</x:v>
      </x:c>
      <x:c r="G40" s="79" t="str">
        <x:v>Deliver 15-minute CPT + SFT interview</x:v>
      </x:c>
      <x:c r="H40" s="79" t="str">
        <x:v>Score yourself and log corrections</x:v>
      </x:c>
      <x:c r="I40" s="8" t="str">
        <x:v>Not started</x:v>
      </x:c>
      <x:c r="J40" s="8" t="str">
        <x:v>Not started</x:v>
      </x:c>
      <x:c r="K40" s="8" t="str">
        <x:v>Not started</x:v>
      </x:c>
      <x:c r="L40" s="8" t="str">
        <x:v>Not started</x:v>
      </x:c>
      <x:c r="M40" s="80" t="n">
        <x:f>COUNTIF(I40:L40,"Done")/4</x:f>
        <x:v>0</x:v>
      </x:c>
      <x:c r="N40" s="8" t="str">
        <x:f>IF(M40=1,"Completed",IF(M40&gt;0,"In progress","Not started"))</x:f>
        <x:v>Not started</x:v>
      </x:c>
      <x:c r="O40" s="90" t="n">
        <x:v>110</x:v>
      </x:c>
      <x:c r="P40" s="90"/>
      <x:c r="Q40" s="90"/>
      <x:c r="R40" s="79" t="str"/>
    </x:row>
    <x:row r="41" ht="57" customHeight="1">
      <x:c r="A41" t="n">
        <x:v>37</x:v>
      </x:c>
      <x:c r="B41" t="n">
        <x:v>6</x:v>
      </x:c>
      <x:c r="C41" s="74" t="n">
        <x:f>Dashboard!$B$5+A41-1</x:f>
        <x:v>46343</x:v>
      </x:c>
      <x:c r="D41" s="76" t="str">
        <x:v>Alignment algorithm mock</x:v>
      </x:c>
      <x:c r="E41" s="76" t="str">
        <x:v>Review DPO, PPO, GRPO and preference QA</x:v>
      </x:c>
      <x:c r="F41" s="76" t="str">
        <x:v>Solve a small DPO math/pseudocode exercise</x:v>
      </x:c>
      <x:c r="G41" s="76" t="str">
        <x:v>Defend algorithm selection under constraints</x:v>
      </x:c>
      <x:c r="H41" s="76" t="str">
        <x:v>Record unclear assumptions and definitions</x:v>
      </x:c>
      <x:c r="I41" t="str">
        <x:v>Not started</x:v>
      </x:c>
      <x:c r="J41" t="str">
        <x:v>Not started</x:v>
      </x:c>
      <x:c r="K41" t="str">
        <x:v>Not started</x:v>
      </x:c>
      <x:c r="L41" t="str">
        <x:v>Not started</x:v>
      </x:c>
      <x:c r="M41" s="53" t="n">
        <x:f>COUNTIF(I41:L41,"Done")/4</x:f>
        <x:v>0</x:v>
      </x:c>
      <x:c r="N41" t="str">
        <x:f>IF(M41=1,"Completed",IF(M41&gt;0,"In progress","Not started"))</x:f>
        <x:v>Not started</x:v>
      </x:c>
      <x:c r="O41" s="91" t="n">
        <x:v>110</x:v>
      </x:c>
      <x:c r="P41" s="91"/>
      <x:c r="Q41" s="91"/>
      <x:c r="R41" s="76" t="str"/>
    </x:row>
    <x:row r="42" ht="57" customHeight="1">
      <x:c r="A42" t="n">
        <x:v>38</x:v>
      </x:c>
      <x:c r="B42" t="n">
        <x:v>6</x:v>
      </x:c>
      <x:c r="C42" s="74" t="n">
        <x:f>Dashboard!$B$5+A42-1</x:f>
        <x:v>46344</x:v>
      </x:c>
      <x:c r="D42" s="76" t="str">
        <x:v>Failure diagnosis mock</x:v>
      </x:c>
      <x:c r="E42" s="76" t="str">
        <x:v>Review instability, data bugs and eval mismatches</x:v>
      </x:c>
      <x:c r="F42" s="76" t="str">
        <x:v>Investigate a hypothetical bad run log</x:v>
      </x:c>
      <x:c r="G42" s="76" t="str">
        <x:v>Explain stepwise debugging with evidence</x:v>
      </x:c>
      <x:c r="H42" s="76" t="str">
        <x:v>Document the decision tree</x:v>
      </x:c>
      <x:c r="I42" t="str">
        <x:v>Not started</x:v>
      </x:c>
      <x:c r="J42" t="str">
        <x:v>Not started</x:v>
      </x:c>
      <x:c r="K42" t="str">
        <x:v>Not started</x:v>
      </x:c>
      <x:c r="L42" t="str">
        <x:v>Not started</x:v>
      </x:c>
      <x:c r="M42" s="53" t="n">
        <x:f>COUNTIF(I42:L42,"Done")/4</x:f>
        <x:v>0</x:v>
      </x:c>
      <x:c r="N42" t="str">
        <x:f>IF(M42=1,"Completed",IF(M42&gt;0,"In progress","Not started"))</x:f>
        <x:v>Not started</x:v>
      </x:c>
      <x:c r="O42" s="91" t="n">
        <x:v>110</x:v>
      </x:c>
      <x:c r="P42" s="91"/>
      <x:c r="Q42" s="91"/>
      <x:c r="R42" s="76" t="str"/>
    </x:row>
    <x:row r="43" ht="57" customHeight="1">
      <x:c r="A43" t="n">
        <x:v>39</x:v>
      </x:c>
      <x:c r="B43" t="n">
        <x:v>6</x:v>
      </x:c>
      <x:c r="C43" s="74" t="n">
        <x:f>Dashboard!$B$5+A43-1</x:f>
        <x:v>46345</x:v>
      </x:c>
      <x:c r="D43" s="76" t="str">
        <x:v>Evaluation regression mock</x:v>
      </x:c>
      <x:c r="E43" s="76" t="str">
        <x:v>Review metrics, significance and guardrails</x:v>
      </x:c>
      <x:c r="F43" s="76" t="str">
        <x:v>Design an ablation for a post-training regression</x:v>
      </x:c>
      <x:c r="G43" s="76" t="str">
        <x:v>Explain disagreement between offline and online eval</x:v>
      </x:c>
      <x:c r="H43" s="76" t="str">
        <x:v>Record falsifiable hypotheses</x:v>
      </x:c>
      <x:c r="I43" t="str">
        <x:v>Not started</x:v>
      </x:c>
      <x:c r="J43" t="str">
        <x:v>Not started</x:v>
      </x:c>
      <x:c r="K43" t="str">
        <x:v>Not started</x:v>
      </x:c>
      <x:c r="L43" t="str">
        <x:v>Not started</x:v>
      </x:c>
      <x:c r="M43" s="53" t="n">
        <x:f>COUNTIF(I43:L43,"Done")/4</x:f>
        <x:v>0</x:v>
      </x:c>
      <x:c r="N43" t="str">
        <x:f>IF(M43=1,"Completed",IF(M43&gt;0,"In progress","Not started"))</x:f>
        <x:v>Not started</x:v>
      </x:c>
      <x:c r="O43" s="91" t="n">
        <x:v>110</x:v>
      </x:c>
      <x:c r="P43" s="91"/>
      <x:c r="Q43" s="91"/>
      <x:c r="R43" s="76" t="str"/>
    </x:row>
    <x:row r="44" ht="57" customHeight="1">
      <x:c r="A44" t="n">
        <x:v>40</x:v>
      </x:c>
      <x:c r="B44" t="n">
        <x:v>6</x:v>
      </x:c>
      <x:c r="C44" s="74" t="n">
        <x:f>Dashboard!$B$5+A44-1</x:f>
        <x:v>46346</x:v>
      </x:c>
      <x:c r="D44" s="76" t="str">
        <x:v>Project deep dive</x:v>
      </x:c>
      <x:c r="E44" s="76" t="str">
        <x:v>Review your real fine-tuning project and metrics</x:v>
      </x:c>
      <x:c r="F44" s="76" t="str">
        <x:v>Prepare project story: problem, decisions, results</x:v>
      </x:c>
      <x:c r="G44" s="76" t="str">
        <x:v>Practice skeptical follow-up questions</x:v>
      </x:c>
      <x:c r="H44" s="76" t="str">
        <x:v>Write quantified impact and lessons</x:v>
      </x:c>
      <x:c r="I44" t="str">
        <x:v>Not started</x:v>
      </x:c>
      <x:c r="J44" t="str">
        <x:v>Not started</x:v>
      </x:c>
      <x:c r="K44" t="str">
        <x:v>Not started</x:v>
      </x:c>
      <x:c r="L44" t="str">
        <x:v>Not started</x:v>
      </x:c>
      <x:c r="M44" s="53" t="n">
        <x:f>COUNTIF(I44:L44,"Done")/4</x:f>
        <x:v>0</x:v>
      </x:c>
      <x:c r="N44" t="str">
        <x:f>IF(M44=1,"Completed",IF(M44&gt;0,"In progress","Not started"))</x:f>
        <x:v>Not started</x:v>
      </x:c>
      <x:c r="O44" s="91" t="n">
        <x:v>110</x:v>
      </x:c>
      <x:c r="P44" s="91"/>
      <x:c r="Q44" s="91"/>
      <x:c r="R44" s="76" t="str"/>
    </x:row>
    <x:row r="45" ht="57" customHeight="1">
      <x:c r="A45" t="n">
        <x:v>41</x:v>
      </x:c>
      <x:c r="B45" t="n">
        <x:v>6</x:v>
      </x:c>
      <x:c r="C45" s="74" t="n">
        <x:f>Dashboard!$B$5+A45-1</x:f>
        <x:v>46347</x:v>
      </x:c>
      <x:c r="D45" s="76" t="str">
        <x:v>Agentic training extension</x:v>
      </x:c>
      <x:c r="E45" s="76" t="str">
        <x:v>Review tool trajectories, environments and rewards</x:v>
      </x:c>
      <x:c r="F45" s="76" t="str">
        <x:v>Design simple tool-use rollout and reward contract</x:v>
      </x:c>
      <x:c r="G45" s="76" t="str">
        <x:v>How would you train reliable tool use?</x:v>
      </x:c>
      <x:c r="H45" s="76" t="str">
        <x:v>Record reward-hacking and safety failure modes</x:v>
      </x:c>
      <x:c r="I45" t="str">
        <x:v>Not started</x:v>
      </x:c>
      <x:c r="J45" t="str">
        <x:v>Not started</x:v>
      </x:c>
      <x:c r="K45" t="str">
        <x:v>Not started</x:v>
      </x:c>
      <x:c r="L45" t="str">
        <x:v>Not started</x:v>
      </x:c>
      <x:c r="M45" s="53" t="n">
        <x:f>COUNTIF(I45:L45,"Done")/4</x:f>
        <x:v>0</x:v>
      </x:c>
      <x:c r="N45" t="str">
        <x:f>IF(M45=1,"Completed",IF(M45&gt;0,"In progress","Not started"))</x:f>
        <x:v>Not started</x:v>
      </x:c>
      <x:c r="O45" s="91" t="n">
        <x:v>120</x:v>
      </x:c>
      <x:c r="P45" s="91"/>
      <x:c r="Q45" s="91"/>
      <x:c r="R45" s="76" t="str"/>
    </x:row>
    <x:row r="46" ht="57" customHeight="1">
      <x:c r="A46" t="n">
        <x:v>42</x:v>
      </x:c>
      <x:c r="B46" t="n">
        <x:v>6</x:v>
      </x:c>
      <x:c r="C46" s="74" t="n">
        <x:f>Dashboard!$B$5+A46-1</x:f>
        <x:v>46348</x:v>
      </x:c>
      <x:c r="D46" s="76" t="str">
        <x:v>Final mock and retrospective</x:v>
      </x:c>
      <x:c r="E46" s="76" t="str">
        <x:v>Review weakest items on Skill Checklist</x:v>
      </x:c>
      <x:c r="F46" s="76" t="str">
        <x:v>Complete mock rubric and update readiness ratings</x:v>
      </x:c>
      <x:c r="G46" s="76" t="str">
        <x:v>Run a 30-minute end-to-end technical interview</x:v>
      </x:c>
      <x:c r="H46" s="76" t="str">
        <x:v>Set next 2-week improvement plan</x:v>
      </x:c>
      <x:c r="I46" t="str">
        <x:v>Not started</x:v>
      </x:c>
      <x:c r="J46" t="str">
        <x:v>Not started</x:v>
      </x:c>
      <x:c r="K46" t="str">
        <x:v>Not started</x:v>
      </x:c>
      <x:c r="L46" t="str">
        <x:v>Not started</x:v>
      </x:c>
      <x:c r="M46" s="53" t="n">
        <x:f>COUNTIF(I46:L46,"Done")/4</x:f>
        <x:v>0</x:v>
      </x:c>
      <x:c r="N46" t="str">
        <x:f>IF(M46=1,"Completed",IF(M46&gt;0,"In progress","Not started"))</x:f>
        <x:v>Not started</x:v>
      </x:c>
      <x:c r="O46" s="91" t="n">
        <x:v>60</x:v>
      </x:c>
      <x:c r="P46" s="91"/>
      <x:c r="Q46" s="91"/>
      <x:c r="R46" s="76" t="str"/>
    </x:row>
  </x:sheetData>
  <x:mergeCells>
    <x:mergeCell ref="A1:R2"/>
    <x:mergeCell ref="A3:R3"/>
  </x:mergeCells>
  <x:conditionalFormatting sqref="I5:L46">
    <x:cfRule type="expression" dxfId="0" priority="1">
      <x:formula>I5="Done"</x:formula>
    </x:cfRule>
    <x:cfRule type="expression" dxfId="1" priority="2">
      <x:formula>I5="In progress"</x:formula>
    </x:cfRule>
  </x:conditionalFormatting>
  <x:conditionalFormatting sqref="M5:M46">
    <x:cfRule type="dataBar" priority="3">
      <x:dataBar>
        <x:cfvo type="min"/>
        <x:cfvo type="max"/>
        <x:color rgb="FF1D4ED8"/>
      </x:dataBar>
      <x:extLst>
        <x:ext xmlns:x14="http://schemas.microsoft.com/office/spreadsheetml/2009/9/main" uri="{B025F937-C7B1-47D3-B67F-A62EFF666E3E}">
          <x14:id>{5447274F-0D26-F85A-6F8A-B39F8F51996C}</x14:id>
        </x:ext>
      </x:extLst>
    </x:cfRule>
  </x:conditionalFormatting>
  <x:conditionalFormatting sqref="N5:N46">
    <x:cfRule type="expression" dxfId="2" priority="4">
      <x:formula>$N5="Completed"</x:formula>
    </x:cfRule>
  </x:conditionalFormatting>
  <x:conditionalFormatting sqref="Q5:Q46">
    <x:cfRule type="colorScale" priority="5">
      <x:colorScale>
        <x:cfvo type="min"/>
        <x:cfvo type="percentile" val="50"/>
        <x:cfvo type="max"/>
        <x:color rgb="FFFECACA"/>
        <x:color rgb="FFFEF3C7"/>
        <x:color rgb="FFBBF7D0"/>
      </x:colorScale>
    </x:cfRule>
  </x:conditionalFormatting>
  <x:dataValidations count="1">
    <x:dataValidation type="list" sqref="I5:L46">
      <x:formula1>"Not started,In progress,Done"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5447274F-0D26-F85A-6F8A-B39F8F51996C}">
            <x14:dataBar gradient="0">
              <x14:cfvo type="min"/>
              <x14:cfvo type="max"/>
              <x14:fillColor rgb="FF1D4ED8"/>
            </x14:dataBar>
          </x14:cfRule>
          <xm:sqref>M5:M46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6" hidden="0" customWidth="1"/>
    <x:col min="2" max="2" width="16" hidden="0" customWidth="1"/>
    <x:col min="3" max="3" width="25" hidden="0" customWidth="1"/>
    <x:col min="4" max="4" width="67" hidden="0" customWidth="1"/>
    <x:col min="5" max="5" width="16" hidden="0" customWidth="1"/>
    <x:col min="6" max="6" width="16" hidden="0" customWidth="1"/>
    <x:col min="7" max="7" width="16" hidden="0" customWidth="1"/>
    <x:col min="8" max="8" width="17" hidden="0" customWidth="1"/>
    <x:col min="9" max="9" width="18" hidden="0" customWidth="1"/>
    <x:col min="10" max="10" width="20" hidden="0" customWidth="1"/>
    <x:col min="11" max="11" width="52" hidden="0" customWidth="1"/>
    <x:col min="12" max="12" width="44" hidden="0" customWidth="1"/>
    <x:col min="13" max="13" width="16" hidden="0" customWidth="1"/>
  </x:cols>
  <x:sheetData>
    <x:row r="1" ht="27" customHeight="1">
      <x:c r="A1" s="4" t="str">
        <x:v>MOCK INTERVIEW • SCORECARD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 ht="27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</x:row>
    <x:row r="3" ht="28" customHeight="1">
      <x:c r="A3" s="10" t="str">
        <x:v>Score your spoken answers 1–10 across five dimensions • Weighted total updates automatically</x:v>
      </x:c>
      <x:c r="B3" s="10"/>
      <x:c r="C3" s="10"/>
      <x:c r="D3" s="96" t="str">
        <x:v>Scoring weights →</x:v>
      </x:c>
      <x:c r="E3" s="97" t="n">
        <x:v>0.3</x:v>
      </x:c>
      <x:c r="F3" s="97" t="n">
        <x:v>0.25</x:v>
      </x:c>
      <x:c r="G3" s="97" t="n">
        <x:v>0.2</x:v>
      </x:c>
      <x:c r="H3" s="97" t="n">
        <x:v>0.15</x:v>
      </x:c>
      <x:c r="I3" s="97" t="n">
        <x:v>0.1</x:v>
      </x:c>
      <x:c r="J3" s="10"/>
      <x:c r="K3" s="10"/>
      <x:c r="L3" s="10"/>
      <x:c r="M3" s="10"/>
    </x:row>
    <x:row r="4" ht="43" customHeight="1">
      <x:c r="A4" s="43" t="str">
        <x:v>#</x:v>
      </x:c>
      <x:c r="B4" s="43" t="str">
        <x:v>DATE</x:v>
      </x:c>
      <x:c r="C4" s="43" t="str">
        <x:v>INTERVIEW TYPE</x:v>
      </x:c>
      <x:c r="D4" s="43" t="str">
        <x:v>QUESTION / PROMPT</x:v>
      </x:c>
      <x:c r="E4" s="43" t="str">
        <x:v>TECHNICAL
30%</x:v>
      </x:c>
      <x:c r="F4" s="43" t="str">
        <x:v>DATA / DESIGN
25%</x:v>
      </x:c>
      <x:c r="G4" s="43" t="str">
        <x:v>EVALUATION
20%</x:v>
      </x:c>
      <x:c r="H4" s="43" t="str">
        <x:v>ENGINEERING
15%</x:v>
      </x:c>
      <x:c r="I4" s="43" t="str">
        <x:v>COMMUNICATION
10%</x:v>
      </x:c>
      <x:c r="J4" s="43" t="str">
        <x:v>WEIGHTED SCORE /10</x:v>
      </x:c>
      <x:c r="K4" s="43" t="str">
        <x:v>FEEDBACK / GAPS</x:v>
      </x:c>
      <x:c r="L4" s="43" t="str">
        <x:v>NEXT ACTION</x:v>
      </x:c>
      <x:c r="M4" s="43" t="str">
        <x:v>RETEST DATE</x:v>
      </x:c>
    </x:row>
    <x:row r="5" ht="50" customHeight="1">
      <x:c r="A5" t="n">
        <x:v>1</x:v>
      </x:c>
      <x:c r="B5" s="14"/>
      <x:c r="C5" t="str">
        <x:v>Domain system design</x:v>
      </x:c>
      <x:c r="D5" s="76" t="str">
        <x:v>Design an 8B financial LLM with 20B unlabeled tokens, 100K QA, 8×H100.</x:v>
      </x:c>
      <x:c r="E5"/>
      <x:c r="F5"/>
      <x:c r="G5"/>
      <x:c r="H5"/>
      <x:c r="I5"/>
      <x:c r="J5" t="str">
        <x:f>IF(COUNT(E5:I5)&lt;5,"",ROUND(E5*$E$3+F5*$F$3+G5*$G$3+H5*$H$3+I5*$I$3,1))</x:f>
      </x:c>
      <x:c r="K5" s="76" t="str"/>
      <x:c r="L5" s="76" t="str"/>
      <x:c r="M5" s="14" t="str"/>
    </x:row>
    <x:row r="6" ht="50" customHeight="1">
      <x:c r="A6" t="n">
        <x:v>2</x:v>
      </x:c>
      <x:c r="B6" s="14"/>
      <x:c r="C6" t="str">
        <x:v>Domain adaptation</x:v>
      </x:c>
      <x:c r="D6" s="76" t="str">
        <x:v>When do you choose CPT vs SFT vs RAG, and why?</x:v>
      </x:c>
      <x:c r="E6"/>
      <x:c r="F6"/>
      <x:c r="G6"/>
      <x:c r="H6"/>
      <x:c r="I6"/>
      <x:c r="J6" t="str">
        <x:f>IF(COUNT(E6:I6)&lt;5,"",ROUND(E6*$E$3+F6*$F$3+G6*$G$3+H6*$H$3+I6*$I$3,1))</x:f>
      </x:c>
      <x:c r="K6" s="76" t="str"/>
      <x:c r="L6" s="76" t="str"/>
      <x:c r="M6" s="14" t="str"/>
    </x:row>
    <x:row r="7" ht="50" customHeight="1">
      <x:c r="A7" t="n">
        <x:v>3</x:v>
      </x:c>
      <x:c r="B7" s="14"/>
      <x:c r="C7" t="str">
        <x:v>Data pipelines</x:v>
      </x:c>
      <x:c r="D7" s="76" t="str">
        <x:v>How do you remove duplicate, low-quality and contaminated samples?</x:v>
      </x:c>
      <x:c r="E7"/>
      <x:c r="F7"/>
      <x:c r="G7"/>
      <x:c r="H7"/>
      <x:c r="I7"/>
      <x:c r="J7" t="str">
        <x:f>IF(COUNT(E7:I7)&lt;5,"",ROUND(E7*$E$3+F7*$F$3+G7*$G$3+H7*$H$3+I7*$I$3,1))</x:f>
      </x:c>
      <x:c r="K7" s="76" t="str"/>
      <x:c r="L7" s="76" t="str"/>
      <x:c r="M7" s="14" t="str"/>
    </x:row>
    <x:row r="8" ht="50" customHeight="1">
      <x:c r="A8" t="n">
        <x:v>4</x:v>
      </x:c>
      <x:c r="B8" s="14"/>
      <x:c r="C8" t="str">
        <x:v>Continued pre-training</x:v>
      </x:c>
      <x:c r="D8" s="76" t="str">
        <x:v>Choose data mix, schedule and forgetting guardrails.</x:v>
      </x:c>
      <x:c r="E8"/>
      <x:c r="F8"/>
      <x:c r="G8"/>
      <x:c r="H8"/>
      <x:c r="I8"/>
      <x:c r="J8" t="str">
        <x:f>IF(COUNT(E8:I8)&lt;5,"",ROUND(E8*$E$3+F8*$F$3+G8*$G$3+H8*$H$3+I8*$I$3,1))</x:f>
      </x:c>
      <x:c r="K8" s="76" t="str"/>
      <x:c r="L8" s="76" t="str"/>
      <x:c r="M8" s="14" t="str"/>
    </x:row>
    <x:row r="9" ht="50" customHeight="1">
      <x:c r="A9" t="n">
        <x:v>5</x:v>
      </x:c>
      <x:c r="B9" s="14"/>
      <x:c r="C9" t="str">
        <x:v>SFT debugging</x:v>
      </x:c>
      <x:c r="D9" s="76" t="str">
        <x:v>SFT model outputs generic responses; find the root cause.</x:v>
      </x:c>
      <x:c r="E9"/>
      <x:c r="F9"/>
      <x:c r="G9"/>
      <x:c r="H9"/>
      <x:c r="I9"/>
      <x:c r="J9" t="str">
        <x:f>IF(COUNT(E9:I9)&lt;5,"",ROUND(E9*$E$3+F9*$F$3+G9*$G$3+H9*$H$3+I9*$I$3,1))</x:f>
      </x:c>
      <x:c r="K9" s="76" t="str"/>
      <x:c r="L9" s="76" t="str"/>
      <x:c r="M9" s="14" t="str"/>
    </x:row>
    <x:row r="10" ht="50" customHeight="1">
      <x:c r="A10" t="n">
        <x:v>6</x:v>
      </x:c>
      <x:c r="B10" s="14"/>
      <x:c r="C10" t="str">
        <x:v>DPO deep dive</x:v>
      </x:c>
      <x:c r="D10" s="76" t="str">
        <x:v>Explain/derive DPO loss, beta and the reference policy.</x:v>
      </x:c>
      <x:c r="E10"/>
      <x:c r="F10"/>
      <x:c r="G10"/>
      <x:c r="H10"/>
      <x:c r="I10"/>
      <x:c r="J10" t="str">
        <x:f>IF(COUNT(E10:I10)&lt;5,"",ROUND(E10*$E$3+F10*$F$3+G10*$G$3+H10*$H$3+I10*$I$3,1))</x:f>
      </x:c>
      <x:c r="K10" s="76" t="str"/>
      <x:c r="L10" s="76" t="str"/>
      <x:c r="M10" s="14" t="str"/>
    </x:row>
    <x:row r="11" ht="50" customHeight="1">
      <x:c r="A11" t="n">
        <x:v>7</x:v>
      </x:c>
      <x:c r="B11" s="14"/>
      <x:c r="C11" t="str">
        <x:v>Alignment comparison</x:v>
      </x:c>
      <x:c r="D11" s="76" t="str">
        <x:v>Compare DPO, PPO and GRPO for domain tasks.</x:v>
      </x:c>
      <x:c r="E11"/>
      <x:c r="F11"/>
      <x:c r="G11"/>
      <x:c r="H11"/>
      <x:c r="I11"/>
      <x:c r="J11" t="str">
        <x:f>IF(COUNT(E11:I11)&lt;5,"",ROUND(E11*$E$3+F11*$F$3+G11*$G$3+H11*$H$3+I11*$I$3,1))</x:f>
      </x:c>
      <x:c r="K11" s="76" t="str"/>
      <x:c r="L11" s="76" t="str"/>
      <x:c r="M11" s="14" t="str"/>
    </x:row>
    <x:row r="12" ht="50" customHeight="1">
      <x:c r="A12" t="n">
        <x:v>8</x:v>
      </x:c>
      <x:c r="B12" s="14"/>
      <x:c r="C12" t="str">
        <x:v>Reward modeling</x:v>
      </x:c>
      <x:c r="D12" s="76" t="str">
        <x:v>Design reliable preference labels and reward validation.</x:v>
      </x:c>
      <x:c r="E12"/>
      <x:c r="F12"/>
      <x:c r="G12"/>
      <x:c r="H12"/>
      <x:c r="I12"/>
      <x:c r="J12" t="str">
        <x:f>IF(COUNT(E12:I12)&lt;5,"",ROUND(E12*$E$3+F12*$F$3+G12*$G$3+H12*$H$3+I12*$I$3,1))</x:f>
      </x:c>
      <x:c r="K12" s="76" t="str"/>
      <x:c r="L12" s="76" t="str"/>
      <x:c r="M12" s="14" t="str"/>
    </x:row>
    <x:row r="13" ht="50" customHeight="1">
      <x:c r="A13" t="n">
        <x:v>9</x:v>
      </x:c>
      <x:c r="B13" s="14"/>
      <x:c r="C13" t="str">
        <x:v>Training systems</x:v>
      </x:c>
      <x:c r="D13" s="76" t="str">
        <x:v>Estimate training memory/throughput and eliminate OOM.</x:v>
      </x:c>
      <x:c r="E13"/>
      <x:c r="F13"/>
      <x:c r="G13"/>
      <x:c r="H13"/>
      <x:c r="I13"/>
      <x:c r="J13" t="str">
        <x:f>IF(COUNT(E13:I13)&lt;5,"",ROUND(E13*$E$3+F13*$F$3+G13*$G$3+H13*$H$3+I13*$I$3,1))</x:f>
      </x:c>
      <x:c r="K13" s="76" t="str"/>
      <x:c r="L13" s="76" t="str"/>
      <x:c r="M13" s="14" t="str"/>
    </x:row>
    <x:row r="14" ht="50" customHeight="1">
      <x:c r="A14" t="n">
        <x:v>10</x:v>
      </x:c>
      <x:c r="B14" s="14"/>
      <x:c r="C14" t="str">
        <x:v>Training stability</x:v>
      </x:c>
      <x:c r="D14" s="76" t="str">
        <x:v>Diagnose NaNs and loss spikes after 50K steps.</x:v>
      </x:c>
      <x:c r="E14"/>
      <x:c r="F14"/>
      <x:c r="G14"/>
      <x:c r="H14"/>
      <x:c r="I14"/>
      <x:c r="J14" t="str">
        <x:f>IF(COUNT(E14:I14)&lt;5,"",ROUND(E14*$E$3+F14*$F$3+G14*$G$3+H14*$H$3+I14*$I$3,1))</x:f>
      </x:c>
      <x:c r="K14" s="76" t="str"/>
      <x:c r="L14" s="76" t="str"/>
      <x:c r="M14" s="14" t="str"/>
    </x:row>
    <x:row r="15" ht="50" customHeight="1">
      <x:c r="A15" t="n">
        <x:v>11</x:v>
      </x:c>
      <x:c r="B15" s="14"/>
      <x:c r="C15" t="str">
        <x:v>Evaluation design</x:v>
      </x:c>
      <x:c r="D15" s="76" t="str">
        <x:v>Design finance benchmark coverage and leakage controls.</x:v>
      </x:c>
      <x:c r="E15"/>
      <x:c r="F15"/>
      <x:c r="G15"/>
      <x:c r="H15"/>
      <x:c r="I15"/>
      <x:c r="J15" t="str">
        <x:f>IF(COUNT(E15:I15)&lt;5,"",ROUND(E15*$E$3+F15*$F$3+G15*$G$3+H15*$H$3+I15*$I$3,1))</x:f>
      </x:c>
      <x:c r="K15" s="76" t="str"/>
      <x:c r="L15" s="76" t="str"/>
      <x:c r="M15" s="14" t="str"/>
    </x:row>
    <x:row r="16" ht="50" customHeight="1">
      <x:c r="A16" t="n">
        <x:v>12</x:v>
      </x:c>
      <x:c r="B16" s="14"/>
      <x:c r="C16" t="str">
        <x:v>Evaluation regression</x:v>
      </x:c>
      <x:c r="D16" s="76" t="str">
        <x:v>Offline eval improves, users report worse answers.</x:v>
      </x:c>
      <x:c r="E16"/>
      <x:c r="F16"/>
      <x:c r="G16"/>
      <x:c r="H16"/>
      <x:c r="I16"/>
      <x:c r="J16" t="str">
        <x:f>IF(COUNT(E16:I16)&lt;5,"",ROUND(E16*$E$3+F16*$F$3+G16*$G$3+H16*$H$3+I16*$I$3,1))</x:f>
      </x:c>
      <x:c r="K16" s="76" t="str"/>
      <x:c r="L16" s="76" t="str"/>
      <x:c r="M16" s="14" t="str"/>
    </x:row>
    <x:row r="17" ht="50" customHeight="1">
      <x:c r="A17" t="n">
        <x:v>13</x:v>
      </x:c>
      <x:c r="B17" s="14"/>
      <x:c r="C17" t="str">
        <x:v>Experiment design</x:v>
      </x:c>
      <x:c r="D17" s="76" t="str">
        <x:v>Design ablations to attribute a 2% task improvement.</x:v>
      </x:c>
      <x:c r="E17"/>
      <x:c r="F17"/>
      <x:c r="G17"/>
      <x:c r="H17"/>
      <x:c r="I17"/>
      <x:c r="J17" t="str">
        <x:f>IF(COUNT(E17:I17)&lt;5,"",ROUND(E17*$E$3+F17*$F$3+G17*$G$3+H17*$H$3+I17*$I$3,1))</x:f>
      </x:c>
      <x:c r="K17" s="76" t="str"/>
      <x:c r="L17" s="76" t="str"/>
      <x:c r="M17" s="14" t="str"/>
    </x:row>
    <x:row r="18" ht="50" customHeight="1">
      <x:c r="A18" t="n">
        <x:v>14</x:v>
      </x:c>
      <x:c r="B18" s="14"/>
      <x:c r="C18" t="str">
        <x:v>Project deep dive</x:v>
      </x:c>
      <x:c r="D18" s="76" t="str">
        <x:v>Explain a real LLM fine-tuning project and its impact.</x:v>
      </x:c>
      <x:c r="E18"/>
      <x:c r="F18"/>
      <x:c r="G18"/>
      <x:c r="H18"/>
      <x:c r="I18"/>
      <x:c r="J18" t="str">
        <x:f>IF(COUNT(E18:I18)&lt;5,"",ROUND(E18*$E$3+F18*$F$3+G18*$G$3+H18*$H$3+I18*$I$3,1))</x:f>
      </x:c>
      <x:c r="K18" s="76" t="str"/>
      <x:c r="L18" s="76" t="str"/>
      <x:c r="M18" s="14" t="str"/>
    </x:row>
    <x:row r="19" ht="50" customHeight="1">
      <x:c r="A19" t="n">
        <x:v>15</x:v>
      </x:c>
      <x:c r="B19" s="14"/>
      <x:c r="C19" t="str">
        <x:v>Agentic training</x:v>
      </x:c>
      <x:c r="D19" s="76" t="str">
        <x:v>Train an LLM to use search/tools with reliable feedback.</x:v>
      </x:c>
      <x:c r="E19"/>
      <x:c r="F19"/>
      <x:c r="G19"/>
      <x:c r="H19"/>
      <x:c r="I19"/>
      <x:c r="J19" t="str">
        <x:f>IF(COUNT(E19:I19)&lt;5,"",ROUND(E19*$E$3+F19*$F$3+G19*$G$3+H19*$H$3+I19*$I$3,1))</x:f>
      </x:c>
      <x:c r="K19" s="76" t="str"/>
      <x:c r="L19" s="76" t="str"/>
      <x:c r="M19" s="14" t="str"/>
    </x:row>
    <x:row r="20" ht="50" customHeight="1">
      <x:c r="A20" t="n">
        <x:v>16</x:v>
      </x:c>
      <x:c r="B20" s="14"/>
      <x:c r="C20" t="str">
        <x:v>Final full mock</x:v>
      </x:c>
      <x:c r="D20" s="76" t="str">
        <x:v>Build, improve, evaluate and launch a domain model.</x:v>
      </x:c>
      <x:c r="E20"/>
      <x:c r="F20"/>
      <x:c r="G20"/>
      <x:c r="H20"/>
      <x:c r="I20"/>
      <x:c r="J20" t="str">
        <x:f>IF(COUNT(E20:I20)&lt;5,"",ROUND(E20*$E$3+F20*$F$3+G20*$G$3+H20*$H$3+I20*$I$3,1))</x:f>
      </x:c>
      <x:c r="K20" s="76" t="str"/>
      <x:c r="L20" s="76" t="str"/>
      <x:c r="M20" s="14" t="str"/>
    </x:row>
  </x:sheetData>
  <x:mergeCells>
    <x:mergeCell ref="A1:M2"/>
    <x:mergeCell ref="A3:M3"/>
  </x:mergeCells>
  <x:conditionalFormatting sqref="J5:J20">
    <x:cfRule type="dataBar" priority="1">
      <x:dataBar>
        <x:cfvo type="min"/>
        <x:cfvo type="max"/>
        <x:color rgb="FF0F766E"/>
      </x:dataBar>
      <x:extLst>
        <x:ext xmlns:x14="http://schemas.microsoft.com/office/spreadsheetml/2009/9/main" uri="{B025F937-C7B1-47D3-B67F-A62EFF666E3E}">
          <x14:id>{6473112A-F390-8767-CDDD-53E5A83013A4}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6473112A-F390-8767-CDDD-53E5A83013A4}">
            <x14:dataBar gradient="0">
              <x14:cfvo type="min"/>
              <x14:cfvo type="max"/>
              <x14:fillColor rgb="FF0F766E"/>
            </x14:dataBar>
          </x14:cfRule>
          <xm:sqref>J5:J20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44" hidden="0" customWidth="1"/>
    <x:col min="2" max="2" width="27" hidden="0" customWidth="1"/>
    <x:col min="3" max="3" width="15" hidden="0" customWidth="1"/>
    <x:col min="4" max="4" width="20" hidden="0" customWidth="1"/>
    <x:col min="5" max="5" width="53" hidden="0" customWidth="1"/>
    <x:col min="6" max="6" width="50" hidden="0" customWidth="1"/>
    <x:col min="7" max="7" width="18" hidden="0" customWidth="1"/>
  </x:cols>
  <x:sheetData>
    <x:row r="1" ht="27" customHeight="1">
      <x:c r="A1" s="4" t="str">
        <x:v>LLM POST-TRAINING • SKILL CHECKLIST</x:v>
      </x:c>
      <x:c r="B1" s="4"/>
      <x:c r="C1" s="4"/>
      <x:c r="D1" s="4"/>
      <x:c r="E1" s="4"/>
      <x:c r="F1" s="4"/>
      <x:c r="G1" s="4"/>
    </x:row>
    <x:row r="2" ht="27" customHeight="1">
      <x:c r="A2" s="4"/>
      <x:c r="B2" s="4"/>
      <x:c r="C2" s="4"/>
      <x:c r="D2" s="4"/>
      <x:c r="E2" s="4"/>
      <x:c r="F2" s="4"/>
      <x:c r="G2" s="4"/>
    </x:row>
    <x:row r="3" ht="28" customHeight="1">
      <x:c r="A3" s="10" t="str">
        <x:v>Self-assess each skill from 0 (not started) to 4 (can teach/defend) • Target ≥3 before interviews</x:v>
      </x:c>
      <x:c r="B3" s="10"/>
      <x:c r="C3" s="10"/>
      <x:c r="D3" s="10"/>
      <x:c r="E3" s="10"/>
      <x:c r="F3" s="10"/>
      <x:c r="G3" s="10"/>
    </x:row>
    <x:row r="4" ht="36" customHeight="1">
      <x:c r="A4" s="100" t="str">
        <x:v>SKILL</x:v>
      </x:c>
      <x:c r="B4" s="100" t="str">
        <x:v>CATEGORY</x:v>
      </x:c>
      <x:c r="C4" s="100" t="str">
        <x:v>PRIORITY</x:v>
      </x:c>
      <x:c r="D4" s="100" t="str">
        <x:v>CONFIDENCE 0–4</x:v>
      </x:c>
      <x:c r="E4" s="100" t="str">
        <x:v>EVIDENCE / ARTIFACT</x:v>
      </x:c>
      <x:c r="F4" s="100" t="str">
        <x:v>NEXT ACTION</x:v>
      </x:c>
      <x:c r="G4" s="100" t="str">
        <x:v>READINESS</x:v>
      </x:c>
    </x:row>
    <x:row r="5" ht="29" customHeight="1">
      <x:c r="A5" t="str">
        <x:v>Attention equations + masking</x:v>
      </x:c>
      <x:c r="B5" t="str">
        <x:v>Foundations</x:v>
      </x:c>
      <x:c r="C5" t="str">
        <x:v>High</x:v>
      </x:c>
      <x:c r="D5"/>
      <x:c r="E5" s="76" t="str"/>
      <x:c r="F5" s="76" t="str"/>
      <x:c r="G5" t="str">
        <x:f>IF(D5="","Not rated",IF(D5&gt;=3,"Ready","Practice"))</x:f>
        <x:v>Not rated</x:v>
      </x:c>
    </x:row>
    <x:row r="6" ht="29" customHeight="1">
      <x:c r="A6" t="str">
        <x:v>RoPE, tokenizer, context windows</x:v>
      </x:c>
      <x:c r="B6" t="str">
        <x:v>Foundations</x:v>
      </x:c>
      <x:c r="C6" t="str">
        <x:v>Medium</x:v>
      </x:c>
      <x:c r="D6"/>
      <x:c r="E6" s="76" t="str"/>
      <x:c r="F6" s="76" t="str"/>
      <x:c r="G6" t="str">
        <x:f>IF(D6="","Not rated",IF(D6&gt;=3,"Ready","Practice"))</x:f>
        <x:v>Not rated</x:v>
      </x:c>
    </x:row>
    <x:row r="7" ht="29" customHeight="1">
      <x:c r="A7" t="str">
        <x:v>Causal LM loss and SFT masking</x:v>
      </x:c>
      <x:c r="B7" t="str">
        <x:v>Foundations</x:v>
      </x:c>
      <x:c r="C7" t="str">
        <x:v>High</x:v>
      </x:c>
      <x:c r="D7"/>
      <x:c r="E7" s="76" t="str"/>
      <x:c r="F7" s="76" t="str"/>
      <x:c r="G7" t="str">
        <x:f>IF(D7="","Not rated",IF(D7&gt;=3,"Ready","Practice"))</x:f>
        <x:v>Not rated</x:v>
      </x:c>
    </x:row>
    <x:row r="8" ht="29" customHeight="1">
      <x:c r="A8" t="str">
        <x:v>LoRA / QLoRA design</x:v>
      </x:c>
      <x:c r="B8" t="str">
        <x:v>Post-training</x:v>
      </x:c>
      <x:c r="C8" t="str">
        <x:v>High</x:v>
      </x:c>
      <x:c r="D8"/>
      <x:c r="E8" s="76" t="str"/>
      <x:c r="F8" s="76" t="str"/>
      <x:c r="G8" t="str">
        <x:f>IF(D8="","Not rated",IF(D8&gt;=3,"Ready","Practice"))</x:f>
        <x:v>Not rated</x:v>
      </x:c>
    </x:row>
    <x:row r="9" ht="29" customHeight="1">
      <x:c r="A9" t="str">
        <x:v>AdamW, schedulers, gradient stability</x:v>
      </x:c>
      <x:c r="B9" t="str">
        <x:v>Training systems</x:v>
      </x:c>
      <x:c r="C9" t="str">
        <x:v>High</x:v>
      </x:c>
      <x:c r="D9"/>
      <x:c r="E9" s="76" t="str"/>
      <x:c r="F9" s="76" t="str"/>
      <x:c r="G9" t="str">
        <x:f>IF(D9="","Not rated",IF(D9&gt;=3,"Ready","Practice"))</x:f>
        <x:v>Not rated</x:v>
      </x:c>
    </x:row>
    <x:row r="10" ht="29" customHeight="1">
      <x:c r="A10" t="str">
        <x:v>Corpus quality / rights / privacy</x:v>
      </x:c>
      <x:c r="B10" t="str">
        <x:v>Domain adaptation</x:v>
      </x:c>
      <x:c r="C10" t="str">
        <x:v>High</x:v>
      </x:c>
      <x:c r="D10"/>
      <x:c r="E10" s="76" t="str"/>
      <x:c r="F10" s="76" t="str"/>
      <x:c r="G10" t="str">
        <x:f>IF(D10="","Not rated",IF(D10&gt;=3,"Ready","Practice"))</x:f>
        <x:v>Not rated</x:v>
      </x:c>
    </x:row>
    <x:row r="11" ht="29" customHeight="1">
      <x:c r="A11" t="str">
        <x:v>Dedup, leakage, contamination</x:v>
      </x:c>
      <x:c r="B11" t="str">
        <x:v>Domain adaptation</x:v>
      </x:c>
      <x:c r="C11" t="str">
        <x:v>High</x:v>
      </x:c>
      <x:c r="D11"/>
      <x:c r="E11" s="76" t="str"/>
      <x:c r="F11" s="76" t="str"/>
      <x:c r="G11" t="str">
        <x:f>IF(D11="","Not rated",IF(D11&gt;=3,"Ready","Practice"))</x:f>
        <x:v>Not rated</x:v>
      </x:c>
    </x:row>
    <x:row r="12" ht="29" customHeight="1">
      <x:c r="A12" t="str">
        <x:v>CPT vs SFT vs RAG decision</x:v>
      </x:c>
      <x:c r="B12" t="str">
        <x:v>Domain adaptation</x:v>
      </x:c>
      <x:c r="C12" t="str">
        <x:v>High</x:v>
      </x:c>
      <x:c r="D12"/>
      <x:c r="E12" s="76" t="str"/>
      <x:c r="F12" s="76" t="str"/>
      <x:c r="G12" t="str">
        <x:f>IF(D12="","Not rated",IF(D12&gt;=3,"Ready","Practice"))</x:f>
        <x:v>Not rated</x:v>
      </x:c>
    </x:row>
    <x:row r="13" ht="29" customHeight="1">
      <x:c r="A13" t="str">
        <x:v>Instruction data quality and mixtures</x:v>
      </x:c>
      <x:c r="B13" t="str">
        <x:v>Domain adaptation</x:v>
      </x:c>
      <x:c r="C13" t="str">
        <x:v>High</x:v>
      </x:c>
      <x:c r="D13"/>
      <x:c r="E13" s="76" t="str"/>
      <x:c r="F13" s="76" t="str"/>
      <x:c r="G13" t="str">
        <x:f>IF(D13="","Not rated",IF(D13&gt;=3,"Ready","Practice"))</x:f>
        <x:v>Not rated</x:v>
      </x:c>
    </x:row>
    <x:row r="14" ht="29" customHeight="1">
      <x:c r="A14" t="str">
        <x:v>Catastrophic forgetting controls</x:v>
      </x:c>
      <x:c r="B14" t="str">
        <x:v>Domain adaptation</x:v>
      </x:c>
      <x:c r="C14" t="str">
        <x:v>High</x:v>
      </x:c>
      <x:c r="D14"/>
      <x:c r="E14" s="76" t="str"/>
      <x:c r="F14" s="76" t="str"/>
      <x:c r="G14" t="str">
        <x:f>IF(D14="","Not rated",IF(D14&gt;=3,"Ready","Practice"))</x:f>
        <x:v>Not rated</x:v>
      </x:c>
    </x:row>
    <x:row r="15" ht="29" customHeight="1">
      <x:c r="A15" t="str">
        <x:v>DPO objective and reference model</x:v>
      </x:c>
      <x:c r="B15" t="str">
        <x:v>Post-training</x:v>
      </x:c>
      <x:c r="C15" t="str">
        <x:v>High</x:v>
      </x:c>
      <x:c r="D15"/>
      <x:c r="E15" s="76" t="str"/>
      <x:c r="F15" s="76" t="str"/>
      <x:c r="G15" t="str">
        <x:f>IF(D15="","Not rated",IF(D15&gt;=3,"Ready","Practice"))</x:f>
        <x:v>Not rated</x:v>
      </x:c>
    </x:row>
    <x:row r="16" ht="29" customHeight="1">
      <x:c r="A16" t="str">
        <x:v>Preference data design</x:v>
      </x:c>
      <x:c r="B16" t="str">
        <x:v>Post-training</x:v>
      </x:c>
      <x:c r="C16" t="str">
        <x:v>High</x:v>
      </x:c>
      <x:c r="D16"/>
      <x:c r="E16" s="76" t="str"/>
      <x:c r="F16" s="76" t="str"/>
      <x:c r="G16" t="str">
        <x:f>IF(D16="","Not rated",IF(D16&gt;=3,"Ready","Practice"))</x:f>
        <x:v>Not rated</x:v>
      </x:c>
    </x:row>
    <x:row r="17" ht="29" customHeight="1">
      <x:c r="A17" t="str">
        <x:v>Reward model training and validation</x:v>
      </x:c>
      <x:c r="B17" t="str">
        <x:v>Post-training</x:v>
      </x:c>
      <x:c r="C17" t="str">
        <x:v>Medium</x:v>
      </x:c>
      <x:c r="D17"/>
      <x:c r="E17" s="76" t="str"/>
      <x:c r="F17" s="76" t="str"/>
      <x:c r="G17" t="str">
        <x:f>IF(D17="","Not rated",IF(D17&gt;=3,"Ready","Practice"))</x:f>
        <x:v>Not rated</x:v>
      </x:c>
    </x:row>
    <x:row r="18" ht="29" customHeight="1">
      <x:c r="A18" t="str">
        <x:v>PPO fundamentals and KL</x:v>
      </x:c>
      <x:c r="B18" t="str">
        <x:v>Post-training</x:v>
      </x:c>
      <x:c r="C18" t="str">
        <x:v>Medium</x:v>
      </x:c>
      <x:c r="D18"/>
      <x:c r="E18" s="76" t="str"/>
      <x:c r="F18" s="76" t="str"/>
      <x:c r="G18" t="str">
        <x:f>IF(D18="","Not rated",IF(D18&gt;=3,"Ready","Practice"))</x:f>
        <x:v>Not rated</x:v>
      </x:c>
    </x:row>
    <x:row r="19" ht="29" customHeight="1">
      <x:c r="A19" t="str">
        <x:v>GRPO group rewards and tradeoffs</x:v>
      </x:c>
      <x:c r="B19" t="str">
        <x:v>Post-training</x:v>
      </x:c>
      <x:c r="C19" t="str">
        <x:v>Medium</x:v>
      </x:c>
      <x:c r="D19"/>
      <x:c r="E19" s="76" t="str"/>
      <x:c r="F19" s="76" t="str"/>
      <x:c r="G19" t="str">
        <x:f>IF(D19="","Not rated",IF(D19&gt;=3,"Ready","Practice"))</x:f>
        <x:v>Not rated</x:v>
      </x:c>
    </x:row>
    <x:row r="20" ht="29" customHeight="1">
      <x:c r="A20" t="str">
        <x:v>FSDP / ZeRO sharding</x:v>
      </x:c>
      <x:c r="B20" t="str">
        <x:v>Training systems</x:v>
      </x:c>
      <x:c r="C20" t="str">
        <x:v>High</x:v>
      </x:c>
      <x:c r="D20"/>
      <x:c r="E20" s="76" t="str"/>
      <x:c r="F20" s="76" t="str"/>
      <x:c r="G20" t="str">
        <x:f>IF(D20="","Not rated",IF(D20&gt;=3,"Ready","Practice"))</x:f>
        <x:v>Not rated</x:v>
      </x:c>
    </x:row>
    <x:row r="21" ht="29" customHeight="1">
      <x:c r="A21" t="str">
        <x:v>GPU memory and batch sizing</x:v>
      </x:c>
      <x:c r="B21" t="str">
        <x:v>Training systems</x:v>
      </x:c>
      <x:c r="C21" t="str">
        <x:v>High</x:v>
      </x:c>
      <x:c r="D21"/>
      <x:c r="E21" s="76" t="str"/>
      <x:c r="F21" s="76" t="str"/>
      <x:c r="G21" t="str">
        <x:f>IF(D21="","Not rated",IF(D21&gt;=3,"Ready","Practice"))</x:f>
        <x:v>Not rated</x:v>
      </x:c>
    </x:row>
    <x:row r="22" ht="29" customHeight="1">
      <x:c r="A22" t="str">
        <x:v>Throughput, packing, profiling</x:v>
      </x:c>
      <x:c r="B22" t="str">
        <x:v>Training systems</x:v>
      </x:c>
      <x:c r="C22" t="str">
        <x:v>High</x:v>
      </x:c>
      <x:c r="D22"/>
      <x:c r="E22" s="76" t="str"/>
      <x:c r="F22" s="76" t="str"/>
      <x:c r="G22" t="str">
        <x:f>IF(D22="","Not rated",IF(D22&gt;=3,"Ready","Practice"))</x:f>
        <x:v>Not rated</x:v>
      </x:c>
    </x:row>
    <x:row r="23" ht="29" customHeight="1">
      <x:c r="A23" t="str">
        <x:v>Troubleshooting loss / NaN spikes</x:v>
      </x:c>
      <x:c r="B23" t="str">
        <x:v>Training systems</x:v>
      </x:c>
      <x:c r="C23" t="str">
        <x:v>High</x:v>
      </x:c>
      <x:c r="D23"/>
      <x:c r="E23" s="76" t="str"/>
      <x:c r="F23" s="76" t="str"/>
      <x:c r="G23" t="str">
        <x:f>IF(D23="","Not rated",IF(D23&gt;=3,"Ready","Practice"))</x:f>
        <x:v>Not rated</x:v>
      </x:c>
    </x:row>
    <x:row r="24" ht="29" customHeight="1">
      <x:c r="A24" t="str">
        <x:v>Experiment tracking and checkpoints</x:v>
      </x:c>
      <x:c r="B24" t="str">
        <x:v>Training systems</x:v>
      </x:c>
      <x:c r="C24" t="str">
        <x:v>High</x:v>
      </x:c>
      <x:c r="D24"/>
      <x:c r="E24" s="76" t="str"/>
      <x:c r="F24" s="76" t="str"/>
      <x:c r="G24" t="str">
        <x:f>IF(D24="","Not rated",IF(D24&gt;=3,"Ready","Practice"))</x:f>
        <x:v>Not rated</x:v>
      </x:c>
    </x:row>
    <x:row r="25" ht="29" customHeight="1">
      <x:c r="A25" t="str">
        <x:v>Evaluation taxonomy and baselines</x:v>
      </x:c>
      <x:c r="B25" t="str">
        <x:v>Evaluation</x:v>
      </x:c>
      <x:c r="C25" t="str">
        <x:v>High</x:v>
      </x:c>
      <x:c r="D25"/>
      <x:c r="E25" s="76" t="str"/>
      <x:c r="F25" s="76" t="str"/>
      <x:c r="G25" t="str">
        <x:f>IF(D25="","Not rated",IF(D25&gt;=3,"Ready","Practice"))</x:f>
        <x:v>Not rated</x:v>
      </x:c>
    </x:row>
    <x:row r="26" ht="29" customHeight="1">
      <x:c r="A26" t="str">
        <x:v>Human and LLM judges</x:v>
      </x:c>
      <x:c r="B26" t="str">
        <x:v>Evaluation</x:v>
      </x:c>
      <x:c r="C26" t="str">
        <x:v>High</x:v>
      </x:c>
      <x:c r="D26"/>
      <x:c r="E26" s="76" t="str"/>
      <x:c r="F26" s="76" t="str"/>
      <x:c r="G26" t="str">
        <x:f>IF(D26="","Not rated",IF(D26&gt;=3,"Ready","Practice"))</x:f>
        <x:v>Not rated</x:v>
      </x:c>
    </x:row>
    <x:row r="27" ht="29" customHeight="1">
      <x:c r="A27" t="str">
        <x:v>Ablations and statistical uncertainty</x:v>
      </x:c>
      <x:c r="B27" t="str">
        <x:v>Evaluation</x:v>
      </x:c>
      <x:c r="C27" t="str">
        <x:v>High</x:v>
      </x:c>
      <x:c r="D27"/>
      <x:c r="E27" s="76" t="str"/>
      <x:c r="F27" s="76" t="str"/>
      <x:c r="G27" t="str">
        <x:f>IF(D27="","Not rated",IF(D27&gt;=3,"Ready","Practice"))</x:f>
        <x:v>Not rated</x:v>
      </x:c>
    </x:row>
    <x:row r="28" ht="29" customHeight="1">
      <x:c r="A28" t="str">
        <x:v>Robustness and regression testing</x:v>
      </x:c>
      <x:c r="B28" t="str">
        <x:v>Evaluation</x:v>
      </x:c>
      <x:c r="C28" t="str">
        <x:v>High</x:v>
      </x:c>
      <x:c r="D28"/>
      <x:c r="E28" s="76" t="str"/>
      <x:c r="F28" s="76" t="str"/>
      <x:c r="G28" t="str">
        <x:f>IF(D28="","Not rated",IF(D28&gt;=3,"Ready","Practice"))</x:f>
        <x:v>Not rated</x:v>
      </x:c>
    </x:row>
    <x:row r="29" ht="29" customHeight="1">
      <x:c r="A29" t="str">
        <x:v>Domain LLM system design</x:v>
      </x:c>
      <x:c r="B29" t="str">
        <x:v>Interview communication</x:v>
      </x:c>
      <x:c r="C29" t="str">
        <x:v>High</x:v>
      </x:c>
      <x:c r="D29"/>
      <x:c r="E29" s="76" t="str"/>
      <x:c r="F29" s="76" t="str"/>
      <x:c r="G29" t="str">
        <x:f>IF(D29="","Not rated",IF(D29&gt;=3,"Ready","Practice"))</x:f>
        <x:v>Not rated</x:v>
      </x:c>
    </x:row>
    <x:row r="30" ht="29" customHeight="1">
      <x:c r="A30" t="str">
        <x:v>Research deep dive and quantified impact</x:v>
      </x:c>
      <x:c r="B30" t="str">
        <x:v>Interview communication</x:v>
      </x:c>
      <x:c r="C30" t="str">
        <x:v>High</x:v>
      </x:c>
      <x:c r="D30"/>
      <x:c r="E30" s="76" t="str"/>
      <x:c r="F30" s="76" t="str"/>
      <x:c r="G30" t="str">
        <x:f>IF(D30="","Not rated",IF(D30&gt;=3,"Ready","Practice"))</x:f>
        <x:v>Not rated</x:v>
      </x:c>
    </x:row>
    <x:row r="31" ht="29" customHeight="1">
      <x:c r="A31" t="str">
        <x:v>Agent tool-use rollouts and environments</x:v>
      </x:c>
      <x:c r="B31" t="str">
        <x:v>Agentic extension</x:v>
      </x:c>
      <x:c r="C31" t="str">
        <x:v>Medium</x:v>
      </x:c>
      <x:c r="D31"/>
      <x:c r="E31" s="76" t="str"/>
      <x:c r="F31" s="76" t="str"/>
      <x:c r="G31" t="str">
        <x:f>IF(D31="","Not rated",IF(D31&gt;=3,"Ready","Practice"))</x:f>
        <x:v>Not rated</x:v>
      </x:c>
    </x:row>
    <x:row r="32" ht="29" customHeight="1">
      <x:c r="A32" t="str">
        <x:v>Rewards / credit assignment / reward hacking</x:v>
      </x:c>
      <x:c r="B32" t="str">
        <x:v>Agentic extension</x:v>
      </x:c>
      <x:c r="C32" t="str">
        <x:v>Medium</x:v>
      </x:c>
      <x:c r="D32"/>
      <x:c r="E32" s="76" t="str"/>
      <x:c r="F32" s="76" t="str"/>
      <x:c r="G32" t="str">
        <x:f>IF(D32="","Not rated",IF(D32&gt;=3,"Ready","Practice"))</x:f>
        <x:v>Not rated</x:v>
      </x:c>
    </x:row>
  </x:sheetData>
  <x:mergeCells>
    <x:mergeCell ref="A1:G2"/>
    <x:mergeCell ref="A3:G3"/>
  </x:mergeCells>
  <x:conditionalFormatting sqref="G5:G32">
    <x:cfRule type="expression" dxfId="3" priority="1">
      <x:formula>$G5="Ready"</x:formula>
    </x:cfRule>
    <x:cfRule type="expression" dxfId="4" priority="2">
      <x:formula>$G5="Practice"</x:formula>
    </x:cfRule>
  </x:conditionalFormatting>
  <x:dataValidations count="1">
    <x:dataValidation type="list" sqref="D5:D32">
      <x:formula1>"0,1,2,3,4"</x:formula1>
    </x:dataValidation>
  </x:dataValidations>
  <x:pageMargins left="0.7" right="0.7" top="0.75" bottom="0.75" header="0.3" footer="0.3"/>
</x:worksheet>
</file>