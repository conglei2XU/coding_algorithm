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991" windowHeight="13211" activeTab="1"/>
  </bookViews>
  <sheets>
    <sheet name="Dashboard" sheetId="1" r:id="rId1"/>
    <sheet name="Daily Tracker" sheetId="2" r:id="rId2"/>
    <sheet name="Mock Interview Log" sheetId="3" r:id="rId3"/>
    <sheet name="Skill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<sst xmlns="http://schemas.openxmlformats.org/spreadsheetml/2006/main" count="723" uniqueCount="357">
  <si>
    <t>LLM TRAINING • INTERVIEW PREP DASHBOARD</t>
  </si>
  <si>
    <t>6-week plan  |  Change the start date in B5  |  Track tasks daily in Daily Tracker</t>
  </si>
  <si>
    <t>START DATE →</t>
  </si>
  <si>
    <t>TARGET ROLE</t>
  </si>
  <si>
    <t>LLM Post-training / Domain Model Engineer  •  Agentic RL (secondary)</t>
  </si>
  <si>
    <t>OVERALL COMPLETION</t>
  </si>
  <si>
    <t>FINISHED DAYS</t>
  </si>
  <si>
    <t>STUDY HOURS LOGGED</t>
  </si>
  <si>
    <t>TASKS DONE</t>
  </si>
  <si>
    <t>AVG CONFIDENCE</t>
  </si>
  <si>
    <t>WEEK</t>
  </si>
  <si>
    <t>MAIN FOCUS</t>
  </si>
  <si>
    <t>PLANNED HOURS</t>
  </si>
  <si>
    <t>HOURS LOGGED</t>
  </si>
  <si>
    <t>COMPLETION</t>
  </si>
  <si>
    <t>DAYS FINISHED</t>
  </si>
  <si>
    <t>MAIN DELIVERABLE</t>
  </si>
  <si>
    <t>HOW TO USE</t>
  </si>
  <si>
    <t>LLM training fundamentals</t>
  </si>
  <si>
    <t>Explain Transformer and implement SFT baseline</t>
  </si>
  <si>
    <t>1  Change the yellow start-date cell above.</t>
  </si>
  <si>
    <t>Domain adaptation and data</t>
  </si>
  <si>
    <t>Financial training pipeline + design mock</t>
  </si>
  <si>
    <t>Preference optimization</t>
  </si>
  <si>
    <t>Preference method comparison + small experiment</t>
  </si>
  <si>
    <t>2  In Daily Tracker, mark each task Done.</t>
  </si>
  <si>
    <t>Training engineering</t>
  </si>
  <si>
    <t>Memory, throughput and debugging playbook</t>
  </si>
  <si>
    <t>Evaluation and research judgment</t>
  </si>
  <si>
    <t>Evaluation research memo and ablations</t>
  </si>
  <si>
    <t>3  Log minutes, confidence and interview feedback.</t>
  </si>
  <si>
    <t>Full mock interview intensive</t>
  </si>
  <si>
    <t>Full mock interview + prioritized next steps</t>
  </si>
  <si>
    <t>4  Use weekly completion to plan your next sessions.</t>
  </si>
  <si>
    <t>Your starting point: ML/AI engineer or researcher with some fine-tuning experience. Priority: post-training + domain LLM design; explore agentic RL after core skills.</t>
  </si>
  <si>
    <t>Score mock interviews in Mock Interview Log and update your confidence in Skill Checklist after each practice session.</t>
  </si>
  <si>
    <t>Confidence scale: 0 = new, 1 = can define, 2 = can apply, 3 = can defend, 4 = can teach.</t>
  </si>
  <si>
    <t>42-DAY • DAILY PRACTICE TRACKER</t>
  </si>
  <si>
    <t>Mark each of the four check-ins Done • Log actual minutes and confidence • Dates follow Dashboard!B5</t>
  </si>
  <si>
    <t>DAY</t>
  </si>
  <si>
    <t>DATE</t>
  </si>
  <si>
    <t>FOCUS</t>
  </si>
  <si>
    <t>1 • LEARN / READ</t>
  </si>
  <si>
    <t>2 • BUILD / PRACTICE</t>
  </si>
  <si>
    <t>3 • INTERVIEW DRILL</t>
  </si>
  <si>
    <t>4 • REVIEW / NOTES</t>
  </si>
  <si>
    <t>LEARN STATUS</t>
  </si>
  <si>
    <t>BUILD STATUS</t>
  </si>
  <si>
    <t>DRILL STATUS</t>
  </si>
  <si>
    <t>REVIEW STATUS</t>
  </si>
  <si>
    <t>DAILY PROGRESS</t>
  </si>
  <si>
    <t>DAY STATUS</t>
  </si>
  <si>
    <t>PLANNED MIN</t>
  </si>
  <si>
    <t>ACTUAL MIN</t>
  </si>
  <si>
    <t>CONFIDENCE 1–5</t>
  </si>
  <si>
    <t>NOTES / BLOCKERS</t>
  </si>
  <si>
    <t>Attention and causal masking</t>
  </si>
  <si>
    <t>Derive QKᵀ/√d and masking; review attention shapes</t>
  </si>
  <si>
    <t>Write a minimal causal attention forward pass</t>
  </si>
  <si>
    <t>Explain why attention is scaled and masked</t>
  </si>
  <si>
    <t>Record the derivation and one failure case</t>
  </si>
  <si>
    <t>Done</t>
  </si>
  <si>
    <t>Not started</t>
  </si>
  <si>
    <t/>
  </si>
  <si>
    <t>Tokenization and RoPE</t>
  </si>
  <si>
    <t>Review token IDs, embeddings, and RoPE intuition</t>
  </si>
  <si>
    <t>Inspect tokenizer behavior on finance terms; test long inputs</t>
  </si>
  <si>
    <t>Compare absolute embeddings and RoPE</t>
  </si>
  <si>
    <t>List two tokenization risks in domain tasks</t>
  </si>
  <si>
    <t>Losses and label masking</t>
  </si>
  <si>
    <t>Review next-token CE, chat templates, response-only masking</t>
  </si>
  <si>
    <t>Inspect SFT batch labels, padding, and loss masks</t>
  </si>
  <si>
    <t>Explain prompt tokens vs answer tokens in SFT loss</t>
  </si>
  <si>
    <t>Document two masking bugs and tests</t>
  </si>
  <si>
    <t>LoRA and QLoRA</t>
  </si>
  <si>
    <t>Review low-rank adapters, target modules, 4-bit quantization</t>
  </si>
  <si>
    <t>Configure adapter rank/alpha; estimate trainable params</t>
  </si>
  <si>
    <t>When does QLoRA beat full fine-tuning?</t>
  </si>
  <si>
    <t>Note memory and quality tradeoffs</t>
  </si>
  <si>
    <t>Optimization and stability</t>
  </si>
  <si>
    <t>Review AdamW, warmup, gradient clipping, LR schedules</t>
  </si>
  <si>
    <t>Plot/inspect LR, grad norm and loss from a sample run</t>
  </si>
  <si>
    <t>Debug a hypothetical loss spike</t>
  </si>
  <si>
    <t>Write an experiment checklist</t>
  </si>
  <si>
    <t>Mini SFT experiment</t>
  </si>
  <si>
    <t>Review learning objectives and evaluation splits</t>
  </si>
  <si>
    <t>Run or outline small-domain LoRA SFT with baseline</t>
  </si>
  <si>
    <t>Explain training choices and expected regressions</t>
  </si>
  <si>
    <t>Record artifacts, config and eval results</t>
  </si>
  <si>
    <t>Week 1 review</t>
  </si>
  <si>
    <t>Revisit weakest Transformer or SFT concept</t>
  </si>
  <si>
    <t>Clean training notes and runnable examples</t>
  </si>
  <si>
    <t>Give a 5-minute Transformer/SFT explanation</t>
  </si>
  <si>
    <t>Set Week 2 priorities and confidence</t>
  </si>
  <si>
    <t>Domain-corpus audit</t>
  </si>
  <si>
    <t>Study data licenses, privacy, provenance and coverage</t>
  </si>
  <si>
    <t>Sample finance corpus; label quality and risk buckets</t>
  </si>
  <si>
    <t>What makes domain data useful for CPT?</t>
  </si>
  <si>
    <t>Write a corpus quality rubric</t>
  </si>
  <si>
    <t>Cleaning and leakage</t>
  </si>
  <si>
    <t>Review deduplication, contamination and train/test splits</t>
  </si>
  <si>
    <t>Draft a dedup + split + leakage-check pipeline</t>
  </si>
  <si>
    <t>How do you prevent benchmark leakage?</t>
  </si>
  <si>
    <t>List safeguards and possible false positives</t>
  </si>
  <si>
    <t>CPT vs SFT vs RAG</t>
  </si>
  <si>
    <t>Review purpose and cost of each adaptation method</t>
  </si>
  <si>
    <t>Estimate tokens, steps and compute for an 8B CPT run</t>
  </si>
  <si>
    <t>When should you skip CPT?</t>
  </si>
  <si>
    <t>Write a decision matrix with assumptions</t>
  </si>
  <si>
    <t>Instruction data design</t>
  </si>
  <si>
    <t>Review instruction schemas, diversity and annotation QA</t>
  </si>
  <si>
    <t>Design 100K-example SFT filtering/splitting plan</t>
  </si>
  <si>
    <t>How do you prevent templated answers?</t>
  </si>
  <si>
    <t>List data quality gates</t>
  </si>
  <si>
    <t>Mixing and forgetting</t>
  </si>
  <si>
    <t>Study general/domain token mixes and forgetting</t>
  </si>
  <si>
    <t>Design 3-way data-mix ablation with controls</t>
  </si>
  <si>
    <t>How would you measure loss of general ability?</t>
  </si>
  <si>
    <t>Choose retention metrics and stop criteria</t>
  </si>
  <si>
    <t>End-to-end pipeline</t>
  </si>
  <si>
    <t>Review training stages and release/eval gates</t>
  </si>
  <si>
    <t>Sketch financial LLM: baseline → CPT → SFT → evaluate</t>
  </si>
  <si>
    <t>Defend stage order under 8×H100 constraints</t>
  </si>
  <si>
    <t>Create a one-page system design</t>
  </si>
  <si>
    <t>Week 2 design mock</t>
  </si>
  <si>
    <t>Review the financial LLM prompt and assumptions</t>
  </si>
  <si>
    <t>Refine architecture, budget and dataset plan</t>
  </si>
  <si>
    <t>Deliver a 10-minute domain-model design answer</t>
  </si>
  <si>
    <t>Log feedback and prioritize 3 gaps</t>
  </si>
  <si>
    <t>Preference data quality</t>
  </si>
  <si>
    <t>Review chosen/rejected pairs, rater noise and tie cases</t>
  </si>
  <si>
    <t>Draft a preference data schema and QA checks</t>
  </si>
  <si>
    <t>How do you reduce preference label bias?</t>
  </si>
  <si>
    <t>List disagreement and sampling checks</t>
  </si>
  <si>
    <t>DPO objective</t>
  </si>
  <si>
    <t>Study log-ratio intuition, β and reference policy</t>
  </si>
  <si>
    <t>Derive DPO terms and verify dimensions</t>
  </si>
  <si>
    <t>Compare DPO and reward-model + PPO</t>
  </si>
  <si>
    <t>Write a 90-second intuitive explanation</t>
  </si>
  <si>
    <t>DPO implementation</t>
  </si>
  <si>
    <t>Review training hyperparameters and data formatting</t>
  </si>
  <si>
    <t>Configure a tiny DPO experiment with validation</t>
  </si>
  <si>
    <t>Debug over-optimization or response shortening</t>
  </si>
  <si>
    <t>Record chosen/rejected quality checks</t>
  </si>
  <si>
    <t>Reward models</t>
  </si>
  <si>
    <t>Review Bradley–Terry loss and calibration</t>
  </si>
  <si>
    <t>Design a reward validation and stress-test set</t>
  </si>
  <si>
    <t>What can go wrong with reward model training?</t>
  </si>
  <si>
    <t>Document reward-hacking patterns</t>
  </si>
  <si>
    <t>PPO for LLMs</t>
  </si>
  <si>
    <t>Review policies, value heads, advantage, clipping, KL</t>
  </si>
  <si>
    <t>Walk through one PPO update with pseudocode</t>
  </si>
  <si>
    <t>Explain on-policy sampling and reference KL</t>
  </si>
  <si>
    <t>Note instability and cost drivers</t>
  </si>
  <si>
    <t>GRPO and alternatives</t>
  </si>
  <si>
    <t>Review group-relative baselines, sampling variance, KL</t>
  </si>
  <si>
    <t>Write toy grouped reward and normalized advantage code</t>
  </si>
  <si>
    <t>Compare GRPO, PPO and DPO</t>
  </si>
  <si>
    <t>Make an algorithm selection table</t>
  </si>
  <si>
    <t>Week 3 algorithm mock</t>
  </si>
  <si>
    <t>Review 3 challenging loss/objective concepts</t>
  </si>
  <si>
    <t>Update post-training comparison notes</t>
  </si>
  <si>
    <t>Answer a DPO/PPO/GRPO tradeoff prompt aloud</t>
  </si>
  <si>
    <t>Write top 3 points to improve</t>
  </si>
  <si>
    <t>FSDP and ZeRO</t>
  </si>
  <si>
    <t>Study parameter, gradient and optimizer sharding</t>
  </si>
  <si>
    <t>Draw ZeRO 1/2/3 and FSDP memory breakdown</t>
  </si>
  <si>
    <t>Why choose FSDP over data parallel?</t>
  </si>
  <si>
    <t>Record communication vs memory tradeoffs</t>
  </si>
  <si>
    <t>Memory budget</t>
  </si>
  <si>
    <t>Review activations, bf16 weights, optimizer states</t>
  </si>
  <si>
    <t>Estimate memory for full vs LoRA 8B training</t>
  </si>
  <si>
    <t>Diagnose OOM and propose interventions</t>
  </si>
  <si>
    <t>Write a memory profiling checklist</t>
  </si>
  <si>
    <t>Efficiency and packing</t>
  </si>
  <si>
    <t>Review throughput, padding, sequence packing, attention kernels</t>
  </si>
  <si>
    <t>Estimate tokens/sec and utilization bottlenecks</t>
  </si>
  <si>
    <t>What tradeoff does packing introduce?</t>
  </si>
  <si>
    <t>Document 3 throughput experiments</t>
  </si>
  <si>
    <t>Training instabilities</t>
  </si>
  <si>
    <t>Review NaNs, spikes, outlier batches and optimizer states</t>
  </si>
  <si>
    <t>Create a loss-spike troubleshooting decision tree</t>
  </si>
  <si>
    <t>Your run diverges at step 50K. What now?</t>
  </si>
  <si>
    <t>Record telemetry and isolation steps</t>
  </si>
  <si>
    <t>Reproducibility</t>
  </si>
  <si>
    <t>Review seeds, deterministic limits, checkpoints and logs</t>
  </si>
  <si>
    <t>Draft a resumable run config and artifact policy</t>
  </si>
  <si>
    <t>Why might resumed training differ?</t>
  </si>
  <si>
    <t>Write a reproducibility checklist</t>
  </si>
  <si>
    <t>8×H100 training plan</t>
  </si>
  <si>
    <t>Review sequence length, global batch and accumulation</t>
  </si>
  <si>
    <t>Build compute-budget estimate for CPT and SFT</t>
  </si>
  <si>
    <t>Defend batch size, LR and checkpoint frequency</t>
  </si>
  <si>
    <t>Write fallback plan if compute doubles</t>
  </si>
  <si>
    <t>Week 4 systems mock</t>
  </si>
  <si>
    <t>Review toughest systems failure mode</t>
  </si>
  <si>
    <t>Consolidate profiling and stability playbook</t>
  </si>
  <si>
    <t>Practice 10-minute OOM / loss-spike mock</t>
  </si>
  <si>
    <t>Capture tradeoffs you forgot</t>
  </si>
  <si>
    <t>Task taxonomy and baseline</t>
  </si>
  <si>
    <t>Review finance task groups and baseline choices</t>
  </si>
  <si>
    <t>Define finance evaluation suite and base-model scores</t>
  </si>
  <si>
    <t>What metrics represent real user utility?</t>
  </si>
  <si>
    <t>Choose primary and guardrail metrics</t>
  </si>
  <si>
    <t>Held-out domain evaluation</t>
  </si>
  <si>
    <t>Review leakage, temporal splits, factuality and citations</t>
  </si>
  <si>
    <t>Draft hard cases requiring numeric reasoning</t>
  </si>
  <si>
    <t>How would you detect data contamination?</t>
  </si>
  <si>
    <t>Document blind eval protocol</t>
  </si>
  <si>
    <t>Human and LLM judges</t>
  </si>
  <si>
    <t>Review rubrics, pairwise judging, biases and agreement</t>
  </si>
  <si>
    <t>Design judge prompt and manual calibration sample</t>
  </si>
  <si>
    <t>When should a judge not be trusted?</t>
  </si>
  <si>
    <t>Write a judge validation checklist</t>
  </si>
  <si>
    <t>Ablations and uncertainty</t>
  </si>
  <si>
    <t>Review controlled experiments and bootstrap CIs</t>
  </si>
  <si>
    <t>Design CPT/SFT/data-mix ablation table</t>
  </si>
  <si>
    <t>How do you know a 2% gain is real?</t>
  </si>
  <si>
    <t>Plan decision thresholds</t>
  </si>
  <si>
    <t>Robustness and regressions</t>
  </si>
  <si>
    <t>Review OOD, refusal, format and general-skill regressions</t>
  </si>
  <si>
    <t>Create a regression taxonomy and test slices</t>
  </si>
  <si>
    <t>What if benchmark up, product quality down?</t>
  </si>
  <si>
    <t>Write debugging workflow</t>
  </si>
  <si>
    <t>Domain knowledge vs retrieval</t>
  </si>
  <si>
    <t>Review parametric knowledge, RAG, tools and freshness</t>
  </si>
  <si>
    <t>Design CPT+SFT vs SFT+RAG experiment</t>
  </si>
  <si>
    <t>When is RAG better than domain CPT?</t>
  </si>
  <si>
    <t>Note latency, reliability and cost tradeoffs</t>
  </si>
  <si>
    <t>Week 5 research memo</t>
  </si>
  <si>
    <t>Review evaluation blind spots</t>
  </si>
  <si>
    <t>Summarize evidence in a one-page research memo</t>
  </si>
  <si>
    <t>Present an experiment, result and next steps</t>
  </si>
  <si>
    <t>Record open risks and Week 6 priorities</t>
  </si>
  <si>
    <t>Domain-model design mock</t>
  </si>
  <si>
    <t>Review Week 2 architecture and metrics</t>
  </si>
  <si>
    <t>Prepare a one-page financial training design</t>
  </si>
  <si>
    <t>Deliver 15-minute CPT + SFT interview</t>
  </si>
  <si>
    <t>Score yourself and log corrections</t>
  </si>
  <si>
    <t>Alignment algorithm mock</t>
  </si>
  <si>
    <t>Review DPO, PPO, GRPO and preference QA</t>
  </si>
  <si>
    <t>Solve a small DPO math/pseudocode exercise</t>
  </si>
  <si>
    <t>Defend algorithm selection under constraints</t>
  </si>
  <si>
    <t>Record unclear assumptions and definitions</t>
  </si>
  <si>
    <t>Failure diagnosis mock</t>
  </si>
  <si>
    <t>Review instability, data bugs and eval mismatches</t>
  </si>
  <si>
    <t>Investigate a hypothetical bad run log</t>
  </si>
  <si>
    <t>Explain stepwise debugging with evidence</t>
  </si>
  <si>
    <t>Document the decision tree</t>
  </si>
  <si>
    <t>Evaluation regression mock</t>
  </si>
  <si>
    <t>Review metrics, significance and guardrails</t>
  </si>
  <si>
    <t>Design an ablation for a post-training regression</t>
  </si>
  <si>
    <t>Explain disagreement between offline and online eval</t>
  </si>
  <si>
    <t>Record falsifiable hypotheses</t>
  </si>
  <si>
    <t>Project deep dive</t>
  </si>
  <si>
    <t>Review your real fine-tuning project and metrics</t>
  </si>
  <si>
    <t>Prepare project story: problem, decisions, results</t>
  </si>
  <si>
    <t>Practice skeptical follow-up questions</t>
  </si>
  <si>
    <t>Write quantified impact and lessons</t>
  </si>
  <si>
    <t>Agentic training extension</t>
  </si>
  <si>
    <t>Review tool trajectories, environments and rewards</t>
  </si>
  <si>
    <t>Design simple tool-use rollout and reward contract</t>
  </si>
  <si>
    <t>How would you train reliable tool use?</t>
  </si>
  <si>
    <t>Record reward-hacking and safety failure modes</t>
  </si>
  <si>
    <t>Final mock and retrospective</t>
  </si>
  <si>
    <t>Review weakest items on Skill Checklist</t>
  </si>
  <si>
    <t>Complete mock rubric and update readiness ratings</t>
  </si>
  <si>
    <t>Run a 30-minute end-to-end technical interview</t>
  </si>
  <si>
    <t>Set next 2-week improvement plan</t>
  </si>
  <si>
    <t>MOCK INTERVIEW • SCORECARD</t>
  </si>
  <si>
    <t>Score your spoken answers 1–10 across five dimensions • Weighted total updates automatically</t>
  </si>
  <si>
    <t>Scoring weights →</t>
  </si>
  <si>
    <t>#</t>
  </si>
  <si>
    <t>INTERVIEW TYPE</t>
  </si>
  <si>
    <t>QUESTION / PROMPT</t>
  </si>
  <si>
    <t>TECHNICAL
30%</t>
  </si>
  <si>
    <t>DATA / DESIGN
25%</t>
  </si>
  <si>
    <t>EVALUATION
20%</t>
  </si>
  <si>
    <t>ENGINEERING
15%</t>
  </si>
  <si>
    <t>COMMUNICATION
10%</t>
  </si>
  <si>
    <t>WEIGHTED SCORE /10</t>
  </si>
  <si>
    <t>FEEDBACK / GAPS</t>
  </si>
  <si>
    <t>NEXT ACTION</t>
  </si>
  <si>
    <t>RETEST DATE</t>
  </si>
  <si>
    <t>Domain system design</t>
  </si>
  <si>
    <t>Design an 8B financial LLM with 20B unlabeled tokens, 100K QA, 8×H100.</t>
  </si>
  <si>
    <t>Domain adaptation</t>
  </si>
  <si>
    <t>When do you choose CPT vs SFT vs RAG, and why?</t>
  </si>
  <si>
    <t>Data pipelines</t>
  </si>
  <si>
    <t>How do you remove duplicate, low-quality and contaminated samples?</t>
  </si>
  <si>
    <t>Continued pre-training</t>
  </si>
  <si>
    <t>Choose data mix, schedule and forgetting guardrails.</t>
  </si>
  <si>
    <t>SFT debugging</t>
  </si>
  <si>
    <t>SFT model outputs generic responses; find the root cause.</t>
  </si>
  <si>
    <t>DPO deep dive</t>
  </si>
  <si>
    <t>Explain/derive DPO loss, beta and the reference policy.</t>
  </si>
  <si>
    <t>Alignment comparison</t>
  </si>
  <si>
    <t>Compare DPO, PPO and GRPO for domain tasks.</t>
  </si>
  <si>
    <t>Reward modeling</t>
  </si>
  <si>
    <t>Design reliable preference labels and reward validation.</t>
  </si>
  <si>
    <t>Training systems</t>
  </si>
  <si>
    <t>Estimate training memory/throughput and eliminate OOM.</t>
  </si>
  <si>
    <t>Training stability</t>
  </si>
  <si>
    <t>Diagnose NaNs and loss spikes after 50K steps.</t>
  </si>
  <si>
    <t>Evaluation design</t>
  </si>
  <si>
    <t>Design finance benchmark coverage and leakage controls.</t>
  </si>
  <si>
    <t>Evaluation regression</t>
  </si>
  <si>
    <t>Offline eval improves, users report worse answers.</t>
  </si>
  <si>
    <t>Experiment design</t>
  </si>
  <si>
    <t>Design ablations to attribute a 2% task improvement.</t>
  </si>
  <si>
    <t>Explain a real LLM fine-tuning project and its impact.</t>
  </si>
  <si>
    <t>Agentic training</t>
  </si>
  <si>
    <t>Train an LLM to use search/tools with reliable feedback.</t>
  </si>
  <si>
    <t>Final full mock</t>
  </si>
  <si>
    <t>Build, improve, evaluate and launch a domain model.</t>
  </si>
  <si>
    <t>LLM POST-TRAINING • SKILL CHECKLIST</t>
  </si>
  <si>
    <t>Self-assess each skill from 0 (not started) to 4 (can teach/defend) • Target ≥3 before interviews</t>
  </si>
  <si>
    <t>SKILL</t>
  </si>
  <si>
    <t>CATEGORY</t>
  </si>
  <si>
    <t>PRIORITY</t>
  </si>
  <si>
    <t>CONFIDENCE 0–4</t>
  </si>
  <si>
    <t>EVIDENCE / ARTIFACT</t>
  </si>
  <si>
    <t>READINESS</t>
  </si>
  <si>
    <t>Attention equations + masking</t>
  </si>
  <si>
    <t>Foundations</t>
  </si>
  <si>
    <t>High</t>
  </si>
  <si>
    <t>RoPE, tokenizer, context windows</t>
  </si>
  <si>
    <t>Medium</t>
  </si>
  <si>
    <t>Causal LM loss and SFT masking</t>
  </si>
  <si>
    <t>LoRA / QLoRA design</t>
  </si>
  <si>
    <t>Post-training</t>
  </si>
  <si>
    <t>AdamW, schedulers, gradient stability</t>
  </si>
  <si>
    <t>Corpus quality / rights / privacy</t>
  </si>
  <si>
    <t>Dedup, leakage, contamination</t>
  </si>
  <si>
    <t>CPT vs SFT vs RAG decision</t>
  </si>
  <si>
    <t>Instruction data quality and mixtures</t>
  </si>
  <si>
    <t>Catastrophic forgetting controls</t>
  </si>
  <si>
    <t>DPO objective and reference model</t>
  </si>
  <si>
    <t>Preference data design</t>
  </si>
  <si>
    <t>Reward model training and validation</t>
  </si>
  <si>
    <t>PPO fundamentals and KL</t>
  </si>
  <si>
    <t>GRPO group rewards and tradeoffs</t>
  </si>
  <si>
    <t>FSDP / ZeRO sharding</t>
  </si>
  <si>
    <t>GPU memory and batch sizing</t>
  </si>
  <si>
    <t>Throughput, packing, profiling</t>
  </si>
  <si>
    <t>Troubleshooting loss / NaN spikes</t>
  </si>
  <si>
    <t>Experiment tracking and checkpoints</t>
  </si>
  <si>
    <t>Evaluation taxonomy and baselines</t>
  </si>
  <si>
    <t>Evaluation</t>
  </si>
  <si>
    <t>Ablations and statistical uncertainty</t>
  </si>
  <si>
    <t>Robustness and regression testing</t>
  </si>
  <si>
    <t>Domain LLM system design</t>
  </si>
  <si>
    <t>Interview communication</t>
  </si>
  <si>
    <t>Research deep dive and quantified impact</t>
  </si>
  <si>
    <t>Agent tool-use rollouts and environments</t>
  </si>
  <si>
    <t>Agentic extension</t>
  </si>
  <si>
    <t>Rewards / credit assignment / reward hacking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</si>
</sst>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\,\ yyyy"/>
    <numFmt numFmtId="177" formatCode="ddd\,\ mmm\ d"/>
    <numFmt numFmtId="178" formatCode="0.0"/>
  </numFmts>
  <fonts count="30">
    <font>
      <sz val="11"/>
      <name val="Carlito"/>
      <charset val="134"/>
    </font>
    <font>
      <b/>
      <sz val="20"/>
      <color rgb="FFFFFFFF"/>
      <name val="Carlito"/>
      <charset val="134"/>
    </font>
    <font>
      <sz val="10"/>
      <color rgb="FF475569"/>
      <name val="Carlito"/>
      <charset val="134"/>
    </font>
    <font>
      <b/>
      <sz val="11"/>
      <color rgb="FFFFFFFF"/>
      <name val="Carlito"/>
      <charset val="134"/>
    </font>
    <font>
      <b/>
      <sz val="10"/>
      <color rgb="FF142840"/>
      <name val="Carlito"/>
      <charset val="134"/>
    </font>
    <font>
      <b/>
      <sz val="10"/>
      <color rgb="FFFFFFFF"/>
      <name val="Carlito"/>
      <charset val="134"/>
    </font>
    <font>
      <b/>
      <sz val="11"/>
      <name val="Carlito"/>
      <charset val="134"/>
    </font>
    <font>
      <b/>
      <sz val="22"/>
      <color rgb="FF1D4ED8"/>
      <name val="Carlito"/>
      <charset val="134"/>
    </font>
    <font>
      <sz val="11"/>
      <color rgb="FF142840"/>
      <name val="Carlito"/>
      <charset val="134"/>
    </font>
    <font>
      <sz val="11"/>
      <color rgb="FF475569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4284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wrapText="1"/>
    </xf>
    <xf numFmtId="0" fontId="4" fillId="3" borderId="0" xfId="49" applyNumberFormat="1" applyFont="1" applyFill="1" applyBorder="1" applyAlignment="1">
      <alignment vertical="center"/>
    </xf>
    <xf numFmtId="9" fontId="4" fillId="3" borderId="0" xfId="49" applyNumberFormat="1" applyFont="1" applyFill="1" applyBorder="1" applyAlignment="1">
      <alignment vertical="center"/>
    </xf>
    <xf numFmtId="0" fontId="3" fillId="4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/>
    <xf numFmtId="0" fontId="5" fillId="4" borderId="0" xfId="49" applyNumberFormat="1" applyFont="1" applyFill="1" applyBorder="1" applyAlignment="1">
      <alignment vertical="center" wrapText="1"/>
    </xf>
    <xf numFmtId="0" fontId="6" fillId="3" borderId="0" xfId="49" applyNumberFormat="1" applyFont="1" applyFill="1" applyBorder="1"/>
    <xf numFmtId="177" fontId="6" fillId="3" borderId="0" xfId="49" applyNumberFormat="1" applyFont="1" applyFill="1" applyBorder="1"/>
    <xf numFmtId="0" fontId="6" fillId="3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 applyAlignment="1">
      <alignment wrapText="1"/>
    </xf>
    <xf numFmtId="177" fontId="0" fillId="0" borderId="0" xfId="49" applyNumberFormat="1" applyFont="1" applyFill="1" applyBorder="1"/>
    <xf numFmtId="0" fontId="0" fillId="3" borderId="0" xfId="49" applyNumberFormat="1" applyFont="1" applyFill="1" applyBorder="1"/>
    <xf numFmtId="9" fontId="0" fillId="3" borderId="0" xfId="49" applyNumberFormat="1" applyFont="1" applyFill="1" applyBorder="1"/>
    <xf numFmtId="0" fontId="0" fillId="3" borderId="0" xfId="49" applyNumberFormat="1" applyFont="1" applyFill="1" applyBorder="1" applyAlignment="1">
      <alignment horizontal="center"/>
    </xf>
    <xf numFmtId="9" fontId="0" fillId="0" borderId="0" xfId="49" applyNumberFormat="1" applyFont="1" applyFill="1" applyBorder="1"/>
    <xf numFmtId="0" fontId="0" fillId="0" borderId="0" xfId="49" applyNumberFormat="1" applyFont="1" applyFill="1" applyBorder="1" applyAlignment="1">
      <alignment horizontal="center"/>
    </xf>
    <xf numFmtId="0" fontId="6" fillId="0" borderId="0" xfId="49" applyNumberFormat="1" applyFont="1" applyFill="1" applyBorder="1"/>
    <xf numFmtId="176" fontId="6" fillId="5" borderId="0" xfId="49" applyNumberFormat="1" applyFont="1" applyFill="1" applyBorder="1"/>
    <xf numFmtId="0" fontId="0" fillId="6" borderId="0" xfId="49" applyNumberFormat="1" applyFont="1" applyFill="1" applyBorder="1"/>
    <xf numFmtId="0" fontId="5" fillId="2" borderId="0" xfId="49" applyNumberFormat="1" applyFont="1" applyFill="1" applyBorder="1" applyAlignment="1">
      <alignment horizontal="center"/>
    </xf>
    <xf numFmtId="9" fontId="7" fillId="3" borderId="0" xfId="49" applyNumberFormat="1" applyFont="1" applyFill="1" applyBorder="1" applyAlignment="1">
      <alignment horizontal="center" vertical="center"/>
    </xf>
    <xf numFmtId="0" fontId="7" fillId="3" borderId="0" xfId="49" applyNumberFormat="1" applyFont="1" applyFill="1" applyBorder="1" applyAlignment="1">
      <alignment horizontal="center" vertical="center"/>
    </xf>
    <xf numFmtId="1" fontId="7" fillId="3" borderId="0" xfId="49" applyNumberFormat="1" applyFont="1" applyFill="1" applyBorder="1" applyAlignment="1">
      <alignment horizontal="center" vertical="center"/>
    </xf>
    <xf numFmtId="178" fontId="7" fillId="3" borderId="0" xfId="49" applyNumberFormat="1" applyFont="1" applyFill="1" applyBorder="1" applyAlignment="1">
      <alignment horizontal="center" vertical="center"/>
    </xf>
    <xf numFmtId="0" fontId="3" fillId="4" borderId="0" xfId="49" applyNumberFormat="1" applyFont="1" applyFill="1" applyBorder="1"/>
    <xf numFmtId="178" fontId="0" fillId="6" borderId="0" xfId="49" applyNumberFormat="1" applyFont="1" applyFill="1" applyBorder="1"/>
    <xf numFmtId="9" fontId="0" fillId="6" borderId="0" xfId="49" applyNumberFormat="1" applyFont="1" applyFill="1" applyBorder="1"/>
    <xf numFmtId="0" fontId="2" fillId="6" borderId="0" xfId="49" applyNumberFormat="1" applyFont="1" applyFill="1" applyBorder="1" applyAlignment="1">
      <alignment vertical="center" wrapText="1"/>
    </xf>
    <xf numFmtId="178" fontId="0" fillId="0" borderId="0" xfId="49" applyNumberFormat="1" applyFont="1" applyFill="1" applyBorder="1"/>
    <xf numFmtId="0" fontId="8" fillId="3" borderId="0" xfId="49" applyNumberFormat="1" applyFont="1" applyFill="1" applyBorder="1" applyAlignment="1">
      <alignment vertical="center" wrapText="1"/>
    </xf>
    <xf numFmtId="0" fontId="9" fillId="3" borderId="0" xfId="49" applyNumberFormat="1" applyFont="1" applyFill="1" applyBorder="1" applyAlignment="1">
      <alignment vertical="center" wrapText="1"/>
    </xf>
    <xf numFmtId="0" fontId="9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Weekly task completion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"Completed %"</c:f>
              <c:strCache>
                <c:ptCount val="1"/>
                <c:pt idx="0">
                  <c:v>Completed %</c:v>
                </c:pt>
              </c:strCache>
            </c:strRef>
          </c:tx>
          <c:invertIfNegative val="0"/>
          <c:dLbls>
            <c:delete val="1"/>
          </c:dLbls>
          <c:cat>
            <c:numRef>
              <c:f>Dashboard!$A$14:$A$19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Dashboard!$E$14:$E$19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e34efa-1c28-41f8-8c59-736d901c6f8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0</xdr:colOff>
      <xdr:row>40</xdr:row>
      <xdr:rowOff>0</xdr:rowOff>
    </xdr:to>
    <xdr:graphicFrame>
      <xdr:nvGraphicFramePr>
        <xdr:cNvPr id="2" name="Chart"/>
        <xdr:cNvGraphicFramePr/>
      </xdr:nvGraphicFramePr>
      <xdr:xfrm>
        <a:off x="0" y="6753860"/>
        <a:ext cx="12877800" cy="351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pane ySplit="3" topLeftCell="A4" activePane="bottomLeft" state="frozen"/>
      <selection/>
      <selection pane="bottomLeft" activeCell="C15" sqref="C15"/>
    </sheetView>
  </sheetViews>
  <sheetFormatPr defaultColWidth="9" defaultRowHeight="13.8"/>
  <cols>
    <col min="1" max="1" width="16" customWidth="1"/>
    <col min="2" max="2" width="36" customWidth="1"/>
    <col min="3" max="3" width="19" customWidth="1"/>
    <col min="4" max="4" width="18" customWidth="1"/>
    <col min="5" max="5" width="20" customWidth="1"/>
    <col min="6" max="6" width="17" customWidth="1"/>
    <col min="7" max="7" width="43" customWidth="1"/>
    <col min="8" max="10" width="16" customWidth="1"/>
  </cols>
  <sheetData>
    <row r="1" ht="2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7" customHeight="1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ht="28" customHeight="1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ht="32" customHeight="1" spans="1:10">
      <c r="A5" s="20" t="s">
        <v>2</v>
      </c>
      <c r="B5" s="21">
        <v>46309</v>
      </c>
      <c r="D5" s="20" t="s">
        <v>3</v>
      </c>
      <c r="E5" s="22" t="s">
        <v>4</v>
      </c>
      <c r="F5" s="22"/>
      <c r="G5" s="22"/>
      <c r="H5" s="22"/>
      <c r="I5" s="22"/>
      <c r="J5" s="22"/>
    </row>
    <row r="8" ht="25" customHeight="1" spans="1:10">
      <c r="A8" s="23" t="s">
        <v>5</v>
      </c>
      <c r="B8" s="23"/>
      <c r="C8" s="23" t="s">
        <v>6</v>
      </c>
      <c r="D8" s="23"/>
      <c r="E8" s="23" t="s">
        <v>7</v>
      </c>
      <c r="F8" s="23"/>
      <c r="G8" s="23" t="s">
        <v>8</v>
      </c>
      <c r="H8" s="23"/>
      <c r="I8" s="23" t="s">
        <v>9</v>
      </c>
      <c r="J8" s="23"/>
    </row>
    <row r="9" ht="28" customHeight="1" spans="1:10">
      <c r="A9" s="24" t="e">
        <f>SUM('Daily Tracker'!M5:M46)/42</f>
        <v>#NAME?</v>
      </c>
      <c r="B9" s="25"/>
      <c r="C9" s="26">
        <f>COUNTIF('Daily Tracker'!N5:N46,"Completed")</f>
        <v>0</v>
      </c>
      <c r="D9" s="25"/>
      <c r="E9" s="27">
        <f>SUM('Daily Tracker'!P5:P46)/60</f>
        <v>0</v>
      </c>
      <c r="F9" s="25"/>
      <c r="G9" s="26">
        <f>COUNTIF('Daily Tracker'!I5:L46,"Done")</f>
        <v>4</v>
      </c>
      <c r="H9" s="25"/>
      <c r="I9" s="27">
        <f>IFERROR(AVERAGE('Daily Tracker'!Q5:Q46),0)</f>
        <v>0</v>
      </c>
      <c r="J9" s="25"/>
    </row>
    <row r="10" ht="28" customHeight="1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3" ht="31" customHeight="1" spans="1:10">
      <c r="A13" s="7" t="s">
        <v>10</v>
      </c>
      <c r="B13" s="7" t="s">
        <v>11</v>
      </c>
      <c r="C13" s="7" t="s">
        <v>12</v>
      </c>
      <c r="D13" s="7" t="s">
        <v>13</v>
      </c>
      <c r="E13" s="7" t="s">
        <v>14</v>
      </c>
      <c r="F13" s="7" t="s">
        <v>15</v>
      </c>
      <c r="G13" s="7" t="s">
        <v>16</v>
      </c>
      <c r="H13" s="28" t="s">
        <v>17</v>
      </c>
      <c r="I13" s="28"/>
      <c r="J13" s="28"/>
    </row>
    <row r="14" ht="22" customHeight="1" spans="1:10">
      <c r="A14" s="22">
        <v>1</v>
      </c>
      <c r="B14" s="22" t="s">
        <v>18</v>
      </c>
      <c r="C14" s="29">
        <f>SUMIF('Daily Tracker'!$B$5:$B$46,A14,'Daily Tracker'!$O$5:$O$46)/60</f>
        <v>12</v>
      </c>
      <c r="D14" s="29">
        <f>SUMIF('Daily Tracker'!$B$5:$B$46,A14,'Daily Tracker'!$P$5:$P$46)/60</f>
        <v>0</v>
      </c>
      <c r="E14" s="30" t="e">
        <f>SUMIF('Daily Tracker'!$B$5:$B$46,A14,'Daily Tracker'!$M$5:$M$46)/7</f>
        <v>#NAME?</v>
      </c>
      <c r="F14" s="22">
        <f>COUNTIFS('Daily Tracker'!$B$5:$B$46,A14,'Daily Tracker'!$N$5:$N$46,"Completed")</f>
        <v>0</v>
      </c>
      <c r="G14" s="22" t="s">
        <v>19</v>
      </c>
      <c r="H14" s="31" t="s">
        <v>20</v>
      </c>
      <c r="I14" s="31"/>
      <c r="J14" s="31"/>
    </row>
    <row r="15" ht="22" customHeight="1" spans="1:10">
      <c r="A15">
        <v>2</v>
      </c>
      <c r="B15" t="s">
        <v>21</v>
      </c>
      <c r="C15" s="32">
        <f>SUMIF('Daily Tracker'!$B$5:$B$46,A15,'Daily Tracker'!$O$5:$O$46)/60</f>
        <v>12</v>
      </c>
      <c r="D15" s="32">
        <f>SUMIF('Daily Tracker'!$B$5:$B$46,A15,'Daily Tracker'!$P$5:$P$46)/60</f>
        <v>0</v>
      </c>
      <c r="E15" s="18">
        <f>SUMIF('Daily Tracker'!$B$5:$B$46,A15,'Daily Tracker'!$M$5:$M$46)/7</f>
        <v>0</v>
      </c>
      <c r="F15">
        <f>COUNTIFS('Daily Tracker'!$B$5:$B$46,A15,'Daily Tracker'!$N$5:$N$46,"Completed")</f>
        <v>0</v>
      </c>
      <c r="G15" t="s">
        <v>22</v>
      </c>
      <c r="H15" s="31"/>
      <c r="I15" s="31"/>
      <c r="J15" s="31"/>
    </row>
    <row r="16" ht="22" customHeight="1" spans="1:10">
      <c r="A16" s="22">
        <v>3</v>
      </c>
      <c r="B16" s="22" t="s">
        <v>23</v>
      </c>
      <c r="C16" s="29">
        <f>SUMIF('Daily Tracker'!$B$5:$B$46,A16,'Daily Tracker'!$O$5:$O$46)/60</f>
        <v>12</v>
      </c>
      <c r="D16" s="29">
        <f>SUMIF('Daily Tracker'!$B$5:$B$46,A16,'Daily Tracker'!$P$5:$P$46)/60</f>
        <v>0</v>
      </c>
      <c r="E16" s="30">
        <f>SUMIF('Daily Tracker'!$B$5:$B$46,A16,'Daily Tracker'!$M$5:$M$46)/7</f>
        <v>0</v>
      </c>
      <c r="F16" s="22">
        <f>COUNTIFS('Daily Tracker'!$B$5:$B$46,A16,'Daily Tracker'!$N$5:$N$46,"Completed")</f>
        <v>0</v>
      </c>
      <c r="G16" s="22" t="s">
        <v>24</v>
      </c>
      <c r="H16" s="31" t="s">
        <v>25</v>
      </c>
      <c r="I16" s="31"/>
      <c r="J16" s="31"/>
    </row>
    <row r="17" ht="22" customHeight="1" spans="1:10">
      <c r="A17">
        <v>4</v>
      </c>
      <c r="B17" t="s">
        <v>26</v>
      </c>
      <c r="C17" s="32">
        <f>SUMIF('Daily Tracker'!$B$5:$B$46,A17,'Daily Tracker'!$O$5:$O$46)/60</f>
        <v>12</v>
      </c>
      <c r="D17" s="32">
        <f>SUMIF('Daily Tracker'!$B$5:$B$46,A17,'Daily Tracker'!$P$5:$P$46)/60</f>
        <v>0</v>
      </c>
      <c r="E17" s="18">
        <f>SUMIF('Daily Tracker'!$B$5:$B$46,A17,'Daily Tracker'!$M$5:$M$46)/7</f>
        <v>0</v>
      </c>
      <c r="F17">
        <f>COUNTIFS('Daily Tracker'!$B$5:$B$46,A17,'Daily Tracker'!$N$5:$N$46,"Completed")</f>
        <v>0</v>
      </c>
      <c r="G17" t="s">
        <v>27</v>
      </c>
      <c r="H17" s="31"/>
      <c r="I17" s="31"/>
      <c r="J17" s="31"/>
    </row>
    <row r="18" ht="22" customHeight="1" spans="1:10">
      <c r="A18" s="22">
        <v>5</v>
      </c>
      <c r="B18" s="22" t="s">
        <v>28</v>
      </c>
      <c r="C18" s="29">
        <f>SUMIF('Daily Tracker'!$B$5:$B$46,A18,'Daily Tracker'!$O$5:$O$46)/60</f>
        <v>12</v>
      </c>
      <c r="D18" s="29">
        <f>SUMIF('Daily Tracker'!$B$5:$B$46,A18,'Daily Tracker'!$P$5:$P$46)/60</f>
        <v>0</v>
      </c>
      <c r="E18" s="30">
        <f>SUMIF('Daily Tracker'!$B$5:$B$46,A18,'Daily Tracker'!$M$5:$M$46)/7</f>
        <v>0</v>
      </c>
      <c r="F18" s="22">
        <f>COUNTIFS('Daily Tracker'!$B$5:$B$46,A18,'Daily Tracker'!$N$5:$N$46,"Completed")</f>
        <v>0</v>
      </c>
      <c r="G18" s="22" t="s">
        <v>29</v>
      </c>
      <c r="H18" s="31" t="s">
        <v>30</v>
      </c>
      <c r="I18" s="31"/>
      <c r="J18" s="31"/>
    </row>
    <row r="19" ht="22" customHeight="1" spans="1:10">
      <c r="A19">
        <v>6</v>
      </c>
      <c r="B19" t="s">
        <v>31</v>
      </c>
      <c r="C19" s="32">
        <f>SUMIF('Daily Tracker'!$B$5:$B$46,A19,'Daily Tracker'!$O$5:$O$46)/60</f>
        <v>12.1666666666667</v>
      </c>
      <c r="D19" s="32">
        <f>SUMIF('Daily Tracker'!$B$5:$B$46,A19,'Daily Tracker'!$P$5:$P$46)/60</f>
        <v>0</v>
      </c>
      <c r="E19" s="18">
        <f>SUMIF('Daily Tracker'!$B$5:$B$46,A19,'Daily Tracker'!$M$5:$M$46)/7</f>
        <v>0</v>
      </c>
      <c r="F19">
        <f>COUNTIFS('Daily Tracker'!$B$5:$B$46,A19,'Daily Tracker'!$N$5:$N$46,"Completed")</f>
        <v>0</v>
      </c>
      <c r="G19" t="s">
        <v>32</v>
      </c>
      <c r="H19" s="31"/>
      <c r="I19" s="31"/>
      <c r="J19" s="31"/>
    </row>
    <row r="20" ht="22" customHeight="1" spans="8:10">
      <c r="H20" s="31" t="s">
        <v>33</v>
      </c>
      <c r="I20" s="31"/>
      <c r="J20" s="31"/>
    </row>
    <row r="21" ht="22" customHeight="1" spans="1:10">
      <c r="A21" s="33" t="s">
        <v>34</v>
      </c>
      <c r="B21" s="33"/>
      <c r="C21" s="33"/>
      <c r="D21" s="33"/>
      <c r="E21" s="33"/>
      <c r="F21" s="33"/>
      <c r="G21" s="33"/>
      <c r="H21" s="31"/>
      <c r="I21" s="31"/>
      <c r="J21" s="31"/>
    </row>
    <row r="22" ht="22" customHeight="1" spans="1:7">
      <c r="A22" s="33"/>
      <c r="B22" s="33"/>
      <c r="C22" s="33"/>
      <c r="D22" s="33"/>
      <c r="E22" s="33"/>
      <c r="F22" s="33"/>
      <c r="G22" s="33"/>
    </row>
    <row r="24" ht="25" customHeight="1" spans="8:10">
      <c r="H24" s="34" t="s">
        <v>35</v>
      </c>
      <c r="I24" s="34"/>
      <c r="J24" s="34"/>
    </row>
    <row r="25" ht="25" customHeight="1" spans="8:10">
      <c r="H25" s="34"/>
      <c r="I25" s="34"/>
      <c r="J25" s="34"/>
    </row>
    <row r="26" ht="25" customHeight="1" spans="8:10">
      <c r="H26" s="34"/>
      <c r="I26" s="34"/>
      <c r="J26" s="34"/>
    </row>
    <row r="28" ht="25" customHeight="1" spans="8:10">
      <c r="H28" s="35" t="s">
        <v>36</v>
      </c>
      <c r="I28" s="35"/>
      <c r="J28" s="35"/>
    </row>
    <row r="29" ht="25" customHeight="1" spans="8:10">
      <c r="H29" s="35"/>
      <c r="I29" s="35"/>
      <c r="J29" s="35"/>
    </row>
    <row r="30" ht="25" customHeight="1" spans="8:10">
      <c r="H30" s="35"/>
      <c r="I30" s="35"/>
      <c r="J30" s="35"/>
    </row>
  </sheetData>
  <mergeCells count="21">
    <mergeCell ref="A3:J3"/>
    <mergeCell ref="E5:J5"/>
    <mergeCell ref="A8:B8"/>
    <mergeCell ref="C8:D8"/>
    <mergeCell ref="E8:F8"/>
    <mergeCell ref="G8:H8"/>
    <mergeCell ref="I8:J8"/>
    <mergeCell ref="H13:J13"/>
    <mergeCell ref="A1:J2"/>
    <mergeCell ref="A9:B10"/>
    <mergeCell ref="C9:D10"/>
    <mergeCell ref="E9:F10"/>
    <mergeCell ref="G9:H10"/>
    <mergeCell ref="I9:J10"/>
    <mergeCell ref="H14:J15"/>
    <mergeCell ref="H16:J17"/>
    <mergeCell ref="H18:J19"/>
    <mergeCell ref="H20:J21"/>
    <mergeCell ref="A21:G22"/>
    <mergeCell ref="H24:J26"/>
    <mergeCell ref="H28:J30"/>
  </mergeCells>
  <conditionalFormatting sqref="E14:E19">
    <cfRule type="dataBar" priority="1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{d5474ef6-f874-449f-b8fd-22fc040ffa8d}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474ef6-f874-449f-b8fd-22fc040ffa8d}">
            <x14:dataBar minLength="10" maxLength="90" gradient="0" negativeBarColorSameAsPositive="1">
              <x14:cfvo type="min"/>
              <x14:cfvo type="max"/>
              <x14:axisColor indexed="65"/>
            </x14:dataBar>
          </x14:cfRule>
          <xm:sqref>E14:E19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6"/>
  <sheetViews>
    <sheetView tabSelected="1" topLeftCell="G1" workbookViewId="0">
      <pane ySplit="4" topLeftCell="A8" activePane="bottomLeft" state="frozen"/>
      <selection/>
      <selection pane="bottomLeft" activeCell="G6" sqref="G6"/>
    </sheetView>
  </sheetViews>
  <sheetFormatPr defaultColWidth="9" defaultRowHeight="13.8"/>
  <cols>
    <col min="1" max="1" width="7" customWidth="1"/>
    <col min="2" max="2" width="8" customWidth="1"/>
    <col min="3" max="3" width="16" customWidth="1"/>
    <col min="4" max="4" width="28" customWidth="1"/>
    <col min="5" max="6" width="46" customWidth="1"/>
    <col min="7" max="7" width="43" customWidth="1"/>
    <col min="8" max="8" width="40" customWidth="1"/>
    <col min="9" max="12" width="16" customWidth="1"/>
    <col min="13" max="13" width="15" customWidth="1"/>
    <col min="14" max="14" width="17" customWidth="1"/>
    <col min="15" max="15" width="15" customWidth="1"/>
    <col min="16" max="16" width="14" customWidth="1"/>
    <col min="17" max="17" width="17" customWidth="1"/>
    <col min="18" max="18" width="43" customWidth="1"/>
  </cols>
  <sheetData>
    <row r="1" ht="27" customHeight="1" spans="1:18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7" customHeight="1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8" customHeight="1" spans="1:18">
      <c r="A3" s="2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2" customHeight="1" spans="1:18">
      <c r="A4" s="9" t="s">
        <v>39</v>
      </c>
      <c r="B4" s="9" t="s">
        <v>10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9" t="s">
        <v>53</v>
      </c>
      <c r="Q4" s="9" t="s">
        <v>54</v>
      </c>
      <c r="R4" s="9" t="s">
        <v>55</v>
      </c>
    </row>
    <row r="5" ht="57" customHeight="1" spans="1:18">
      <c r="A5" s="10">
        <v>1</v>
      </c>
      <c r="B5" s="10">
        <v>1</v>
      </c>
      <c r="C5" s="11">
        <f>Dashboard!$B$5+A5-1</f>
        <v>46309</v>
      </c>
      <c r="D5" s="12" t="s">
        <v>56</v>
      </c>
      <c r="E5" s="13" t="s">
        <v>57</v>
      </c>
      <c r="F5" s="13" t="s">
        <v>58</v>
      </c>
      <c r="G5" s="13" t="s">
        <v>59</v>
      </c>
      <c r="H5" s="13" t="s">
        <v>60</v>
      </c>
      <c r="I5" s="15" t="s">
        <v>61</v>
      </c>
      <c r="J5" s="15" t="s">
        <v>61</v>
      </c>
      <c r="K5" s="15" t="s">
        <v>61</v>
      </c>
      <c r="L5" s="15" t="s">
        <v>61</v>
      </c>
      <c r="M5" s="16" t="e" cm="1">
        <f t="array" ref="M5">L5COUNTIF(I5:L5,"Done")/4</f>
        <v>#NAME?</v>
      </c>
      <c r="N5" s="15" t="s">
        <v>62</v>
      </c>
      <c r="O5" s="17">
        <v>110</v>
      </c>
      <c r="P5" s="17"/>
      <c r="Q5" s="17"/>
      <c r="R5" s="13" t="s">
        <v>63</v>
      </c>
    </row>
    <row r="6" ht="57" customHeight="1" spans="1:18">
      <c r="A6">
        <v>2</v>
      </c>
      <c r="B6">
        <v>1</v>
      </c>
      <c r="C6" s="14">
        <f>Dashboard!$B$5+A6-1</f>
        <v>46310</v>
      </c>
      <c r="D6" s="4" t="s">
        <v>64</v>
      </c>
      <c r="E6" s="4" t="s">
        <v>65</v>
      </c>
      <c r="F6" s="4" t="s">
        <v>66</v>
      </c>
      <c r="G6" s="4" t="s">
        <v>67</v>
      </c>
      <c r="H6" s="4" t="s">
        <v>68</v>
      </c>
      <c r="I6" t="s">
        <v>62</v>
      </c>
      <c r="J6" t="s">
        <v>62</v>
      </c>
      <c r="K6" t="s">
        <v>62</v>
      </c>
      <c r="L6" t="s">
        <v>62</v>
      </c>
      <c r="M6" s="18">
        <f>COUNTIF(I6:L6,"Done")/4</f>
        <v>0</v>
      </c>
      <c r="N6" t="str">
        <f t="shared" ref="N5:N46" si="0">IF(M6=1,"Completed",IF(M6&gt;0,"In progress","Not started"))</f>
        <v>Not started</v>
      </c>
      <c r="O6" s="19">
        <v>110</v>
      </c>
      <c r="P6" s="19"/>
      <c r="Q6" s="19"/>
      <c r="R6" s="4" t="s">
        <v>63</v>
      </c>
    </row>
    <row r="7" ht="57" customHeight="1" spans="1:18">
      <c r="A7">
        <v>3</v>
      </c>
      <c r="B7">
        <v>1</v>
      </c>
      <c r="C7" s="14">
        <f>Dashboard!$B$5+A7-1</f>
        <v>46311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t="s">
        <v>62</v>
      </c>
      <c r="J7" t="s">
        <v>62</v>
      </c>
      <c r="K7" t="s">
        <v>62</v>
      </c>
      <c r="L7" t="s">
        <v>62</v>
      </c>
      <c r="M7" s="18">
        <f t="shared" ref="M5:M46" si="1">COUNTIF(I7:L7,"Done")/4</f>
        <v>0</v>
      </c>
      <c r="N7" t="str">
        <f t="shared" si="0"/>
        <v>Not started</v>
      </c>
      <c r="O7" s="19">
        <v>110</v>
      </c>
      <c r="P7" s="19"/>
      <c r="Q7" s="19"/>
      <c r="R7" s="4" t="s">
        <v>63</v>
      </c>
    </row>
    <row r="8" ht="57" customHeight="1" spans="1:18">
      <c r="A8">
        <v>4</v>
      </c>
      <c r="B8">
        <v>1</v>
      </c>
      <c r="C8" s="14">
        <f>Dashboard!$B$5+A8-1</f>
        <v>46312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t="s">
        <v>62</v>
      </c>
      <c r="J8" t="s">
        <v>62</v>
      </c>
      <c r="K8" t="s">
        <v>62</v>
      </c>
      <c r="L8" t="s">
        <v>62</v>
      </c>
      <c r="M8" s="18">
        <f t="shared" si="1"/>
        <v>0</v>
      </c>
      <c r="N8" t="str">
        <f t="shared" si="0"/>
        <v>Not started</v>
      </c>
      <c r="O8" s="19">
        <v>110</v>
      </c>
      <c r="P8" s="19"/>
      <c r="Q8" s="19"/>
      <c r="R8" s="4" t="s">
        <v>63</v>
      </c>
    </row>
    <row r="9" ht="57" customHeight="1" spans="1:18">
      <c r="A9">
        <v>5</v>
      </c>
      <c r="B9">
        <v>1</v>
      </c>
      <c r="C9" s="14">
        <f>Dashboard!$B$5+A9-1</f>
        <v>46313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t="s">
        <v>62</v>
      </c>
      <c r="J9" t="s">
        <v>62</v>
      </c>
      <c r="K9" t="s">
        <v>62</v>
      </c>
      <c r="L9" t="s">
        <v>62</v>
      </c>
      <c r="M9" s="18">
        <f t="shared" si="1"/>
        <v>0</v>
      </c>
      <c r="N9" t="str">
        <f t="shared" si="0"/>
        <v>Not started</v>
      </c>
      <c r="O9" s="19">
        <v>110</v>
      </c>
      <c r="P9" s="19"/>
      <c r="Q9" s="19"/>
      <c r="R9" s="4" t="s">
        <v>63</v>
      </c>
    </row>
    <row r="10" ht="57" customHeight="1" spans="1:18">
      <c r="A10">
        <v>6</v>
      </c>
      <c r="B10">
        <v>1</v>
      </c>
      <c r="C10" s="14">
        <f>Dashboard!$B$5+A10-1</f>
        <v>46314</v>
      </c>
      <c r="D10" s="4" t="s">
        <v>84</v>
      </c>
      <c r="E10" s="4" t="s">
        <v>85</v>
      </c>
      <c r="F10" s="4" t="s">
        <v>86</v>
      </c>
      <c r="G10" s="4" t="s">
        <v>87</v>
      </c>
      <c r="H10" s="4" t="s">
        <v>88</v>
      </c>
      <c r="I10" t="s">
        <v>62</v>
      </c>
      <c r="J10" t="s">
        <v>62</v>
      </c>
      <c r="K10" t="s">
        <v>62</v>
      </c>
      <c r="L10" t="s">
        <v>62</v>
      </c>
      <c r="M10" s="18">
        <f t="shared" si="1"/>
        <v>0</v>
      </c>
      <c r="N10" t="str">
        <f t="shared" si="0"/>
        <v>Not started</v>
      </c>
      <c r="O10" s="19">
        <v>120</v>
      </c>
      <c r="P10" s="19"/>
      <c r="Q10" s="19"/>
      <c r="R10" s="4" t="s">
        <v>63</v>
      </c>
    </row>
    <row r="11" ht="57" customHeight="1" spans="1:18">
      <c r="A11">
        <v>7</v>
      </c>
      <c r="B11">
        <v>1</v>
      </c>
      <c r="C11" s="14">
        <f>Dashboard!$B$5+A11-1</f>
        <v>46315</v>
      </c>
      <c r="D11" s="4" t="s">
        <v>89</v>
      </c>
      <c r="E11" s="4" t="s">
        <v>90</v>
      </c>
      <c r="F11" s="4" t="s">
        <v>91</v>
      </c>
      <c r="G11" s="4" t="s">
        <v>92</v>
      </c>
      <c r="H11" s="4" t="s">
        <v>93</v>
      </c>
      <c r="I11" t="s">
        <v>62</v>
      </c>
      <c r="J11" t="s">
        <v>62</v>
      </c>
      <c r="K11" t="s">
        <v>62</v>
      </c>
      <c r="L11" t="s">
        <v>62</v>
      </c>
      <c r="M11" s="18">
        <f t="shared" si="1"/>
        <v>0</v>
      </c>
      <c r="N11" t="str">
        <f t="shared" si="0"/>
        <v>Not started</v>
      </c>
      <c r="O11" s="19">
        <v>50</v>
      </c>
      <c r="P11" s="19"/>
      <c r="Q11" s="19"/>
      <c r="R11" s="4" t="s">
        <v>63</v>
      </c>
    </row>
    <row r="12" ht="57" customHeight="1" spans="1:18">
      <c r="A12" s="10">
        <v>8</v>
      </c>
      <c r="B12" s="10">
        <v>2</v>
      </c>
      <c r="C12" s="11">
        <f>Dashboard!$B$5+A12-1</f>
        <v>46316</v>
      </c>
      <c r="D12" s="12" t="s">
        <v>94</v>
      </c>
      <c r="E12" s="13" t="s">
        <v>95</v>
      </c>
      <c r="F12" s="13" t="s">
        <v>96</v>
      </c>
      <c r="G12" s="13" t="s">
        <v>97</v>
      </c>
      <c r="H12" s="13" t="s">
        <v>98</v>
      </c>
      <c r="I12" s="15" t="s">
        <v>62</v>
      </c>
      <c r="J12" s="15" t="s">
        <v>62</v>
      </c>
      <c r="K12" s="15" t="s">
        <v>62</v>
      </c>
      <c r="L12" s="15" t="s">
        <v>62</v>
      </c>
      <c r="M12" s="16">
        <f t="shared" si="1"/>
        <v>0</v>
      </c>
      <c r="N12" s="15" t="str">
        <f t="shared" si="0"/>
        <v>Not started</v>
      </c>
      <c r="O12" s="17">
        <v>110</v>
      </c>
      <c r="P12" s="17"/>
      <c r="Q12" s="17"/>
      <c r="R12" s="13" t="s">
        <v>63</v>
      </c>
    </row>
    <row r="13" ht="57" customHeight="1" spans="1:18">
      <c r="A13">
        <v>9</v>
      </c>
      <c r="B13">
        <v>2</v>
      </c>
      <c r="C13" s="14">
        <f>Dashboard!$B$5+A13-1</f>
        <v>46317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t="s">
        <v>62</v>
      </c>
      <c r="J13" t="s">
        <v>62</v>
      </c>
      <c r="K13" t="s">
        <v>62</v>
      </c>
      <c r="L13" t="s">
        <v>62</v>
      </c>
      <c r="M13" s="18">
        <f t="shared" si="1"/>
        <v>0</v>
      </c>
      <c r="N13" t="str">
        <f t="shared" si="0"/>
        <v>Not started</v>
      </c>
      <c r="O13" s="19">
        <v>110</v>
      </c>
      <c r="P13" s="19"/>
      <c r="Q13" s="19"/>
      <c r="R13" s="4" t="s">
        <v>63</v>
      </c>
    </row>
    <row r="14" ht="57" customHeight="1" spans="1:18">
      <c r="A14">
        <v>10</v>
      </c>
      <c r="B14">
        <v>2</v>
      </c>
      <c r="C14" s="14">
        <f>Dashboard!$B$5+A14-1</f>
        <v>46318</v>
      </c>
      <c r="D14" s="4" t="s">
        <v>104</v>
      </c>
      <c r="E14" s="4" t="s">
        <v>105</v>
      </c>
      <c r="F14" s="4" t="s">
        <v>106</v>
      </c>
      <c r="G14" s="4" t="s">
        <v>107</v>
      </c>
      <c r="H14" s="4" t="s">
        <v>108</v>
      </c>
      <c r="I14" t="s">
        <v>62</v>
      </c>
      <c r="J14" t="s">
        <v>62</v>
      </c>
      <c r="K14" t="s">
        <v>62</v>
      </c>
      <c r="L14" t="s">
        <v>62</v>
      </c>
      <c r="M14" s="18">
        <f t="shared" si="1"/>
        <v>0</v>
      </c>
      <c r="N14" t="str">
        <f t="shared" si="0"/>
        <v>Not started</v>
      </c>
      <c r="O14" s="19">
        <v>110</v>
      </c>
      <c r="P14" s="19"/>
      <c r="Q14" s="19"/>
      <c r="R14" s="4" t="s">
        <v>63</v>
      </c>
    </row>
    <row r="15" ht="57" customHeight="1" spans="1:18">
      <c r="A15">
        <v>11</v>
      </c>
      <c r="B15">
        <v>2</v>
      </c>
      <c r="C15" s="14">
        <f>Dashboard!$B$5+A15-1</f>
        <v>46319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t="s">
        <v>62</v>
      </c>
      <c r="J15" t="s">
        <v>62</v>
      </c>
      <c r="K15" t="s">
        <v>62</v>
      </c>
      <c r="L15" t="s">
        <v>62</v>
      </c>
      <c r="M15" s="18">
        <f t="shared" si="1"/>
        <v>0</v>
      </c>
      <c r="N15" t="str">
        <f t="shared" si="0"/>
        <v>Not started</v>
      </c>
      <c r="O15" s="19">
        <v>110</v>
      </c>
      <c r="P15" s="19"/>
      <c r="Q15" s="19"/>
      <c r="R15" s="4" t="s">
        <v>63</v>
      </c>
    </row>
    <row r="16" ht="57" customHeight="1" spans="1:18">
      <c r="A16">
        <v>12</v>
      </c>
      <c r="B16">
        <v>2</v>
      </c>
      <c r="C16" s="14">
        <f>Dashboard!$B$5+A16-1</f>
        <v>46320</v>
      </c>
      <c r="D16" s="4" t="s">
        <v>114</v>
      </c>
      <c r="E16" s="4" t="s">
        <v>115</v>
      </c>
      <c r="F16" s="4" t="s">
        <v>116</v>
      </c>
      <c r="G16" s="4" t="s">
        <v>117</v>
      </c>
      <c r="H16" s="4" t="s">
        <v>118</v>
      </c>
      <c r="I16" t="s">
        <v>62</v>
      </c>
      <c r="J16" t="s">
        <v>62</v>
      </c>
      <c r="K16" t="s">
        <v>62</v>
      </c>
      <c r="L16" t="s">
        <v>62</v>
      </c>
      <c r="M16" s="18">
        <f t="shared" si="1"/>
        <v>0</v>
      </c>
      <c r="N16" t="str">
        <f t="shared" si="0"/>
        <v>Not started</v>
      </c>
      <c r="O16" s="19">
        <v>110</v>
      </c>
      <c r="P16" s="19"/>
      <c r="Q16" s="19"/>
      <c r="R16" s="4" t="s">
        <v>63</v>
      </c>
    </row>
    <row r="17" ht="57" customHeight="1" spans="1:18">
      <c r="A17">
        <v>13</v>
      </c>
      <c r="B17">
        <v>2</v>
      </c>
      <c r="C17" s="14">
        <f>Dashboard!$B$5+A17-1</f>
        <v>46321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123</v>
      </c>
      <c r="I17" t="s">
        <v>62</v>
      </c>
      <c r="J17" t="s">
        <v>62</v>
      </c>
      <c r="K17" t="s">
        <v>62</v>
      </c>
      <c r="L17" t="s">
        <v>62</v>
      </c>
      <c r="M17" s="18">
        <f t="shared" si="1"/>
        <v>0</v>
      </c>
      <c r="N17" t="str">
        <f t="shared" si="0"/>
        <v>Not started</v>
      </c>
      <c r="O17" s="19">
        <v>120</v>
      </c>
      <c r="P17" s="19"/>
      <c r="Q17" s="19"/>
      <c r="R17" s="4" t="s">
        <v>63</v>
      </c>
    </row>
    <row r="18" ht="57" customHeight="1" spans="1:18">
      <c r="A18">
        <v>14</v>
      </c>
      <c r="B18">
        <v>2</v>
      </c>
      <c r="C18" s="14">
        <f>Dashboard!$B$5+A18-1</f>
        <v>46322</v>
      </c>
      <c r="D18" s="4" t="s">
        <v>124</v>
      </c>
      <c r="E18" s="4" t="s">
        <v>125</v>
      </c>
      <c r="F18" s="4" t="s">
        <v>126</v>
      </c>
      <c r="G18" s="4" t="s">
        <v>127</v>
      </c>
      <c r="H18" s="4" t="s">
        <v>128</v>
      </c>
      <c r="I18" t="s">
        <v>62</v>
      </c>
      <c r="J18" t="s">
        <v>62</v>
      </c>
      <c r="K18" t="s">
        <v>62</v>
      </c>
      <c r="L18" t="s">
        <v>62</v>
      </c>
      <c r="M18" s="18">
        <f t="shared" si="1"/>
        <v>0</v>
      </c>
      <c r="N18" t="str">
        <f t="shared" si="0"/>
        <v>Not started</v>
      </c>
      <c r="O18" s="19">
        <v>50</v>
      </c>
      <c r="P18" s="19"/>
      <c r="Q18" s="19"/>
      <c r="R18" s="4" t="s">
        <v>63</v>
      </c>
    </row>
    <row r="19" ht="57" customHeight="1" spans="1:18">
      <c r="A19" s="10">
        <v>15</v>
      </c>
      <c r="B19" s="10">
        <v>3</v>
      </c>
      <c r="C19" s="11">
        <f>Dashboard!$B$5+A19-1</f>
        <v>46323</v>
      </c>
      <c r="D19" s="12" t="s">
        <v>129</v>
      </c>
      <c r="E19" s="13" t="s">
        <v>130</v>
      </c>
      <c r="F19" s="13" t="s">
        <v>131</v>
      </c>
      <c r="G19" s="13" t="s">
        <v>132</v>
      </c>
      <c r="H19" s="13" t="s">
        <v>133</v>
      </c>
      <c r="I19" s="15" t="s">
        <v>62</v>
      </c>
      <c r="J19" s="15" t="s">
        <v>62</v>
      </c>
      <c r="K19" s="15" t="s">
        <v>62</v>
      </c>
      <c r="L19" s="15" t="s">
        <v>62</v>
      </c>
      <c r="M19" s="16">
        <f t="shared" si="1"/>
        <v>0</v>
      </c>
      <c r="N19" s="15" t="str">
        <f t="shared" si="0"/>
        <v>Not started</v>
      </c>
      <c r="O19" s="17">
        <v>110</v>
      </c>
      <c r="P19" s="17"/>
      <c r="Q19" s="17"/>
      <c r="R19" s="13" t="s">
        <v>63</v>
      </c>
    </row>
    <row r="20" ht="57" customHeight="1" spans="1:18">
      <c r="A20">
        <v>16</v>
      </c>
      <c r="B20">
        <v>3</v>
      </c>
      <c r="C20" s="14">
        <f>Dashboard!$B$5+A20-1</f>
        <v>46324</v>
      </c>
      <c r="D20" s="4" t="s">
        <v>134</v>
      </c>
      <c r="E20" s="4" t="s">
        <v>135</v>
      </c>
      <c r="F20" s="4" t="s">
        <v>136</v>
      </c>
      <c r="G20" s="4" t="s">
        <v>137</v>
      </c>
      <c r="H20" s="4" t="s">
        <v>138</v>
      </c>
      <c r="I20" t="s">
        <v>62</v>
      </c>
      <c r="J20" t="s">
        <v>62</v>
      </c>
      <c r="K20" t="s">
        <v>62</v>
      </c>
      <c r="L20" t="s">
        <v>62</v>
      </c>
      <c r="M20" s="18">
        <f t="shared" si="1"/>
        <v>0</v>
      </c>
      <c r="N20" t="str">
        <f t="shared" si="0"/>
        <v>Not started</v>
      </c>
      <c r="O20" s="19">
        <v>110</v>
      </c>
      <c r="P20" s="19"/>
      <c r="Q20" s="19"/>
      <c r="R20" s="4" t="s">
        <v>63</v>
      </c>
    </row>
    <row r="21" ht="57" customHeight="1" spans="1:18">
      <c r="A21">
        <v>17</v>
      </c>
      <c r="B21">
        <v>3</v>
      </c>
      <c r="C21" s="14">
        <f>Dashboard!$B$5+A21-1</f>
        <v>46325</v>
      </c>
      <c r="D21" s="4" t="s">
        <v>139</v>
      </c>
      <c r="E21" s="4" t="s">
        <v>140</v>
      </c>
      <c r="F21" s="4" t="s">
        <v>141</v>
      </c>
      <c r="G21" s="4" t="s">
        <v>142</v>
      </c>
      <c r="H21" s="4" t="s">
        <v>143</v>
      </c>
      <c r="I21" t="s">
        <v>62</v>
      </c>
      <c r="J21" t="s">
        <v>62</v>
      </c>
      <c r="K21" t="s">
        <v>62</v>
      </c>
      <c r="L21" t="s">
        <v>62</v>
      </c>
      <c r="M21" s="18">
        <f t="shared" si="1"/>
        <v>0</v>
      </c>
      <c r="N21" t="str">
        <f t="shared" si="0"/>
        <v>Not started</v>
      </c>
      <c r="O21" s="19">
        <v>110</v>
      </c>
      <c r="P21" s="19"/>
      <c r="Q21" s="19"/>
      <c r="R21" s="4" t="s">
        <v>63</v>
      </c>
    </row>
    <row r="22" ht="57" customHeight="1" spans="1:18">
      <c r="A22">
        <v>18</v>
      </c>
      <c r="B22">
        <v>3</v>
      </c>
      <c r="C22" s="14">
        <f>Dashboard!$B$5+A22-1</f>
        <v>46326</v>
      </c>
      <c r="D22" s="4" t="s">
        <v>144</v>
      </c>
      <c r="E22" s="4" t="s">
        <v>145</v>
      </c>
      <c r="F22" s="4" t="s">
        <v>146</v>
      </c>
      <c r="G22" s="4" t="s">
        <v>147</v>
      </c>
      <c r="H22" s="4" t="s">
        <v>148</v>
      </c>
      <c r="I22" t="s">
        <v>62</v>
      </c>
      <c r="J22" t="s">
        <v>62</v>
      </c>
      <c r="K22" t="s">
        <v>62</v>
      </c>
      <c r="L22" t="s">
        <v>62</v>
      </c>
      <c r="M22" s="18">
        <f t="shared" si="1"/>
        <v>0</v>
      </c>
      <c r="N22" t="str">
        <f t="shared" si="0"/>
        <v>Not started</v>
      </c>
      <c r="O22" s="19">
        <v>110</v>
      </c>
      <c r="P22" s="19"/>
      <c r="Q22" s="19"/>
      <c r="R22" s="4" t="s">
        <v>63</v>
      </c>
    </row>
    <row r="23" ht="57" customHeight="1" spans="1:18">
      <c r="A23">
        <v>19</v>
      </c>
      <c r="B23">
        <v>3</v>
      </c>
      <c r="C23" s="14">
        <f>Dashboard!$B$5+A23-1</f>
        <v>46327</v>
      </c>
      <c r="D23" s="4" t="s">
        <v>149</v>
      </c>
      <c r="E23" s="4" t="s">
        <v>150</v>
      </c>
      <c r="F23" s="4" t="s">
        <v>151</v>
      </c>
      <c r="G23" s="4" t="s">
        <v>152</v>
      </c>
      <c r="H23" s="4" t="s">
        <v>153</v>
      </c>
      <c r="I23" t="s">
        <v>62</v>
      </c>
      <c r="J23" t="s">
        <v>62</v>
      </c>
      <c r="K23" t="s">
        <v>62</v>
      </c>
      <c r="L23" t="s">
        <v>62</v>
      </c>
      <c r="M23" s="18">
        <f t="shared" si="1"/>
        <v>0</v>
      </c>
      <c r="N23" t="str">
        <f t="shared" si="0"/>
        <v>Not started</v>
      </c>
      <c r="O23" s="19">
        <v>110</v>
      </c>
      <c r="P23" s="19"/>
      <c r="Q23" s="19"/>
      <c r="R23" s="4" t="s">
        <v>63</v>
      </c>
    </row>
    <row r="24" ht="57" customHeight="1" spans="1:18">
      <c r="A24">
        <v>20</v>
      </c>
      <c r="B24">
        <v>3</v>
      </c>
      <c r="C24" s="14">
        <f>Dashboard!$B$5+A24-1</f>
        <v>46328</v>
      </c>
      <c r="D24" s="4" t="s">
        <v>154</v>
      </c>
      <c r="E24" s="4" t="s">
        <v>155</v>
      </c>
      <c r="F24" s="4" t="s">
        <v>156</v>
      </c>
      <c r="G24" s="4" t="s">
        <v>157</v>
      </c>
      <c r="H24" s="4" t="s">
        <v>158</v>
      </c>
      <c r="I24" t="s">
        <v>62</v>
      </c>
      <c r="J24" t="s">
        <v>62</v>
      </c>
      <c r="K24" t="s">
        <v>62</v>
      </c>
      <c r="L24" t="s">
        <v>62</v>
      </c>
      <c r="M24" s="18">
        <f t="shared" si="1"/>
        <v>0</v>
      </c>
      <c r="N24" t="str">
        <f t="shared" si="0"/>
        <v>Not started</v>
      </c>
      <c r="O24" s="19">
        <v>120</v>
      </c>
      <c r="P24" s="19"/>
      <c r="Q24" s="19"/>
      <c r="R24" s="4" t="s">
        <v>63</v>
      </c>
    </row>
    <row r="25" ht="57" customHeight="1" spans="1:18">
      <c r="A25">
        <v>21</v>
      </c>
      <c r="B25">
        <v>3</v>
      </c>
      <c r="C25" s="14">
        <f>Dashboard!$B$5+A25-1</f>
        <v>46329</v>
      </c>
      <c r="D25" s="4" t="s">
        <v>159</v>
      </c>
      <c r="E25" s="4" t="s">
        <v>160</v>
      </c>
      <c r="F25" s="4" t="s">
        <v>161</v>
      </c>
      <c r="G25" s="4" t="s">
        <v>162</v>
      </c>
      <c r="H25" s="4" t="s">
        <v>163</v>
      </c>
      <c r="I25" t="s">
        <v>62</v>
      </c>
      <c r="J25" t="s">
        <v>62</v>
      </c>
      <c r="K25" t="s">
        <v>62</v>
      </c>
      <c r="L25" t="s">
        <v>62</v>
      </c>
      <c r="M25" s="18">
        <f t="shared" si="1"/>
        <v>0</v>
      </c>
      <c r="N25" t="str">
        <f t="shared" si="0"/>
        <v>Not started</v>
      </c>
      <c r="O25" s="19">
        <v>50</v>
      </c>
      <c r="P25" s="19"/>
      <c r="Q25" s="19"/>
      <c r="R25" s="4" t="s">
        <v>63</v>
      </c>
    </row>
    <row r="26" ht="57" customHeight="1" spans="1:18">
      <c r="A26" s="10">
        <v>22</v>
      </c>
      <c r="B26" s="10">
        <v>4</v>
      </c>
      <c r="C26" s="11">
        <f>Dashboard!$B$5+A26-1</f>
        <v>46330</v>
      </c>
      <c r="D26" s="12" t="s">
        <v>164</v>
      </c>
      <c r="E26" s="13" t="s">
        <v>165</v>
      </c>
      <c r="F26" s="13" t="s">
        <v>166</v>
      </c>
      <c r="G26" s="13" t="s">
        <v>167</v>
      </c>
      <c r="H26" s="13" t="s">
        <v>168</v>
      </c>
      <c r="I26" s="15" t="s">
        <v>62</v>
      </c>
      <c r="J26" s="15" t="s">
        <v>62</v>
      </c>
      <c r="K26" s="15" t="s">
        <v>62</v>
      </c>
      <c r="L26" s="15" t="s">
        <v>62</v>
      </c>
      <c r="M26" s="16">
        <f t="shared" si="1"/>
        <v>0</v>
      </c>
      <c r="N26" s="15" t="str">
        <f t="shared" si="0"/>
        <v>Not started</v>
      </c>
      <c r="O26" s="17">
        <v>110</v>
      </c>
      <c r="P26" s="17"/>
      <c r="Q26" s="17"/>
      <c r="R26" s="13" t="s">
        <v>63</v>
      </c>
    </row>
    <row r="27" ht="57" customHeight="1" spans="1:18">
      <c r="A27">
        <v>23</v>
      </c>
      <c r="B27">
        <v>4</v>
      </c>
      <c r="C27" s="14">
        <f>Dashboard!$B$5+A27-1</f>
        <v>46331</v>
      </c>
      <c r="D27" s="4" t="s">
        <v>169</v>
      </c>
      <c r="E27" s="4" t="s">
        <v>170</v>
      </c>
      <c r="F27" s="4" t="s">
        <v>171</v>
      </c>
      <c r="G27" s="4" t="s">
        <v>172</v>
      </c>
      <c r="H27" s="4" t="s">
        <v>173</v>
      </c>
      <c r="I27" t="s">
        <v>62</v>
      </c>
      <c r="J27" t="s">
        <v>62</v>
      </c>
      <c r="K27" t="s">
        <v>62</v>
      </c>
      <c r="L27" t="s">
        <v>62</v>
      </c>
      <c r="M27" s="18">
        <f t="shared" si="1"/>
        <v>0</v>
      </c>
      <c r="N27" t="str">
        <f t="shared" si="0"/>
        <v>Not started</v>
      </c>
      <c r="O27" s="19">
        <v>110</v>
      </c>
      <c r="P27" s="19"/>
      <c r="Q27" s="19"/>
      <c r="R27" s="4" t="s">
        <v>63</v>
      </c>
    </row>
    <row r="28" ht="57" customHeight="1" spans="1:18">
      <c r="A28">
        <v>24</v>
      </c>
      <c r="B28">
        <v>4</v>
      </c>
      <c r="C28" s="14">
        <f>Dashboard!$B$5+A28-1</f>
        <v>46332</v>
      </c>
      <c r="D28" s="4" t="s">
        <v>174</v>
      </c>
      <c r="E28" s="4" t="s">
        <v>175</v>
      </c>
      <c r="F28" s="4" t="s">
        <v>176</v>
      </c>
      <c r="G28" s="4" t="s">
        <v>177</v>
      </c>
      <c r="H28" s="4" t="s">
        <v>178</v>
      </c>
      <c r="I28" t="s">
        <v>62</v>
      </c>
      <c r="J28" t="s">
        <v>62</v>
      </c>
      <c r="K28" t="s">
        <v>62</v>
      </c>
      <c r="L28" t="s">
        <v>62</v>
      </c>
      <c r="M28" s="18">
        <f t="shared" si="1"/>
        <v>0</v>
      </c>
      <c r="N28" t="str">
        <f t="shared" si="0"/>
        <v>Not started</v>
      </c>
      <c r="O28" s="19">
        <v>110</v>
      </c>
      <c r="P28" s="19"/>
      <c r="Q28" s="19"/>
      <c r="R28" s="4" t="s">
        <v>63</v>
      </c>
    </row>
    <row r="29" ht="57" customHeight="1" spans="1:18">
      <c r="A29">
        <v>25</v>
      </c>
      <c r="B29">
        <v>4</v>
      </c>
      <c r="C29" s="14">
        <f>Dashboard!$B$5+A29-1</f>
        <v>46333</v>
      </c>
      <c r="D29" s="4" t="s">
        <v>179</v>
      </c>
      <c r="E29" s="4" t="s">
        <v>180</v>
      </c>
      <c r="F29" s="4" t="s">
        <v>181</v>
      </c>
      <c r="G29" s="4" t="s">
        <v>182</v>
      </c>
      <c r="H29" s="4" t="s">
        <v>183</v>
      </c>
      <c r="I29" t="s">
        <v>62</v>
      </c>
      <c r="J29" t="s">
        <v>62</v>
      </c>
      <c r="K29" t="s">
        <v>62</v>
      </c>
      <c r="L29" t="s">
        <v>62</v>
      </c>
      <c r="M29" s="18">
        <f t="shared" si="1"/>
        <v>0</v>
      </c>
      <c r="N29" t="str">
        <f t="shared" si="0"/>
        <v>Not started</v>
      </c>
      <c r="O29" s="19">
        <v>110</v>
      </c>
      <c r="P29" s="19"/>
      <c r="Q29" s="19"/>
      <c r="R29" s="4" t="s">
        <v>63</v>
      </c>
    </row>
    <row r="30" ht="57" customHeight="1" spans="1:18">
      <c r="A30">
        <v>26</v>
      </c>
      <c r="B30">
        <v>4</v>
      </c>
      <c r="C30" s="14">
        <f>Dashboard!$B$5+A30-1</f>
        <v>46334</v>
      </c>
      <c r="D30" s="4" t="s">
        <v>184</v>
      </c>
      <c r="E30" s="4" t="s">
        <v>185</v>
      </c>
      <c r="F30" s="4" t="s">
        <v>186</v>
      </c>
      <c r="G30" s="4" t="s">
        <v>187</v>
      </c>
      <c r="H30" s="4" t="s">
        <v>188</v>
      </c>
      <c r="I30" t="s">
        <v>62</v>
      </c>
      <c r="J30" t="s">
        <v>62</v>
      </c>
      <c r="K30" t="s">
        <v>62</v>
      </c>
      <c r="L30" t="s">
        <v>62</v>
      </c>
      <c r="M30" s="18">
        <f t="shared" si="1"/>
        <v>0</v>
      </c>
      <c r="N30" t="str">
        <f t="shared" si="0"/>
        <v>Not started</v>
      </c>
      <c r="O30" s="19">
        <v>110</v>
      </c>
      <c r="P30" s="19"/>
      <c r="Q30" s="19"/>
      <c r="R30" s="4" t="s">
        <v>63</v>
      </c>
    </row>
    <row r="31" ht="57" customHeight="1" spans="1:18">
      <c r="A31">
        <v>27</v>
      </c>
      <c r="B31">
        <v>4</v>
      </c>
      <c r="C31" s="14">
        <f>Dashboard!$B$5+A31-1</f>
        <v>46335</v>
      </c>
      <c r="D31" s="4" t="s">
        <v>189</v>
      </c>
      <c r="E31" s="4" t="s">
        <v>190</v>
      </c>
      <c r="F31" s="4" t="s">
        <v>191</v>
      </c>
      <c r="G31" s="4" t="s">
        <v>192</v>
      </c>
      <c r="H31" s="4" t="s">
        <v>193</v>
      </c>
      <c r="I31" t="s">
        <v>62</v>
      </c>
      <c r="J31" t="s">
        <v>62</v>
      </c>
      <c r="K31" t="s">
        <v>62</v>
      </c>
      <c r="L31" t="s">
        <v>62</v>
      </c>
      <c r="M31" s="18">
        <f t="shared" si="1"/>
        <v>0</v>
      </c>
      <c r="N31" t="str">
        <f t="shared" si="0"/>
        <v>Not started</v>
      </c>
      <c r="O31" s="19">
        <v>120</v>
      </c>
      <c r="P31" s="19"/>
      <c r="Q31" s="19"/>
      <c r="R31" s="4" t="s">
        <v>63</v>
      </c>
    </row>
    <row r="32" ht="57" customHeight="1" spans="1:18">
      <c r="A32">
        <v>28</v>
      </c>
      <c r="B32">
        <v>4</v>
      </c>
      <c r="C32" s="14">
        <f>Dashboard!$B$5+A32-1</f>
        <v>46336</v>
      </c>
      <c r="D32" s="4" t="s">
        <v>194</v>
      </c>
      <c r="E32" s="4" t="s">
        <v>195</v>
      </c>
      <c r="F32" s="4" t="s">
        <v>196</v>
      </c>
      <c r="G32" s="4" t="s">
        <v>197</v>
      </c>
      <c r="H32" s="4" t="s">
        <v>198</v>
      </c>
      <c r="I32" t="s">
        <v>62</v>
      </c>
      <c r="J32" t="s">
        <v>62</v>
      </c>
      <c r="K32" t="s">
        <v>62</v>
      </c>
      <c r="L32" t="s">
        <v>62</v>
      </c>
      <c r="M32" s="18">
        <f t="shared" si="1"/>
        <v>0</v>
      </c>
      <c r="N32" t="str">
        <f t="shared" si="0"/>
        <v>Not started</v>
      </c>
      <c r="O32" s="19">
        <v>50</v>
      </c>
      <c r="P32" s="19"/>
      <c r="Q32" s="19"/>
      <c r="R32" s="4" t="s">
        <v>63</v>
      </c>
    </row>
    <row r="33" ht="57" customHeight="1" spans="1:18">
      <c r="A33" s="10">
        <v>29</v>
      </c>
      <c r="B33" s="10">
        <v>5</v>
      </c>
      <c r="C33" s="11">
        <f>Dashboard!$B$5+A33-1</f>
        <v>46337</v>
      </c>
      <c r="D33" s="12" t="s">
        <v>199</v>
      </c>
      <c r="E33" s="13" t="s">
        <v>200</v>
      </c>
      <c r="F33" s="13" t="s">
        <v>201</v>
      </c>
      <c r="G33" s="13" t="s">
        <v>202</v>
      </c>
      <c r="H33" s="13" t="s">
        <v>203</v>
      </c>
      <c r="I33" s="15" t="s">
        <v>62</v>
      </c>
      <c r="J33" s="15" t="s">
        <v>62</v>
      </c>
      <c r="K33" s="15" t="s">
        <v>62</v>
      </c>
      <c r="L33" s="15" t="s">
        <v>62</v>
      </c>
      <c r="M33" s="16">
        <f t="shared" si="1"/>
        <v>0</v>
      </c>
      <c r="N33" s="15" t="str">
        <f t="shared" si="0"/>
        <v>Not started</v>
      </c>
      <c r="O33" s="17">
        <v>110</v>
      </c>
      <c r="P33" s="17"/>
      <c r="Q33" s="17"/>
      <c r="R33" s="13" t="s">
        <v>63</v>
      </c>
    </row>
    <row r="34" ht="57" customHeight="1" spans="1:18">
      <c r="A34">
        <v>30</v>
      </c>
      <c r="B34">
        <v>5</v>
      </c>
      <c r="C34" s="14">
        <f>Dashboard!$B$5+A34-1</f>
        <v>46338</v>
      </c>
      <c r="D34" s="4" t="s">
        <v>204</v>
      </c>
      <c r="E34" s="4" t="s">
        <v>205</v>
      </c>
      <c r="F34" s="4" t="s">
        <v>206</v>
      </c>
      <c r="G34" s="4" t="s">
        <v>207</v>
      </c>
      <c r="H34" s="4" t="s">
        <v>208</v>
      </c>
      <c r="I34" t="s">
        <v>62</v>
      </c>
      <c r="J34" t="s">
        <v>62</v>
      </c>
      <c r="K34" t="s">
        <v>62</v>
      </c>
      <c r="L34" t="s">
        <v>62</v>
      </c>
      <c r="M34" s="18">
        <f t="shared" si="1"/>
        <v>0</v>
      </c>
      <c r="N34" t="str">
        <f t="shared" si="0"/>
        <v>Not started</v>
      </c>
      <c r="O34" s="19">
        <v>110</v>
      </c>
      <c r="P34" s="19"/>
      <c r="Q34" s="19"/>
      <c r="R34" s="4" t="s">
        <v>63</v>
      </c>
    </row>
    <row r="35" ht="57" customHeight="1" spans="1:18">
      <c r="A35">
        <v>31</v>
      </c>
      <c r="B35">
        <v>5</v>
      </c>
      <c r="C35" s="14">
        <f>Dashboard!$B$5+A35-1</f>
        <v>46339</v>
      </c>
      <c r="D35" s="4" t="s">
        <v>209</v>
      </c>
      <c r="E35" s="4" t="s">
        <v>210</v>
      </c>
      <c r="F35" s="4" t="s">
        <v>211</v>
      </c>
      <c r="G35" s="4" t="s">
        <v>212</v>
      </c>
      <c r="H35" s="4" t="s">
        <v>213</v>
      </c>
      <c r="I35" t="s">
        <v>62</v>
      </c>
      <c r="J35" t="s">
        <v>62</v>
      </c>
      <c r="K35" t="s">
        <v>62</v>
      </c>
      <c r="L35" t="s">
        <v>62</v>
      </c>
      <c r="M35" s="18">
        <f t="shared" si="1"/>
        <v>0</v>
      </c>
      <c r="N35" t="str">
        <f t="shared" si="0"/>
        <v>Not started</v>
      </c>
      <c r="O35" s="19">
        <v>110</v>
      </c>
      <c r="P35" s="19"/>
      <c r="Q35" s="19"/>
      <c r="R35" s="4" t="s">
        <v>63</v>
      </c>
    </row>
    <row r="36" ht="57" customHeight="1" spans="1:18">
      <c r="A36">
        <v>32</v>
      </c>
      <c r="B36">
        <v>5</v>
      </c>
      <c r="C36" s="14">
        <f>Dashboard!$B$5+A36-1</f>
        <v>46340</v>
      </c>
      <c r="D36" s="4" t="s">
        <v>214</v>
      </c>
      <c r="E36" s="4" t="s">
        <v>215</v>
      </c>
      <c r="F36" s="4" t="s">
        <v>216</v>
      </c>
      <c r="G36" s="4" t="s">
        <v>217</v>
      </c>
      <c r="H36" s="4" t="s">
        <v>218</v>
      </c>
      <c r="I36" t="s">
        <v>62</v>
      </c>
      <c r="J36" t="s">
        <v>62</v>
      </c>
      <c r="K36" t="s">
        <v>62</v>
      </c>
      <c r="L36" t="s">
        <v>62</v>
      </c>
      <c r="M36" s="18">
        <f t="shared" si="1"/>
        <v>0</v>
      </c>
      <c r="N36" t="str">
        <f t="shared" si="0"/>
        <v>Not started</v>
      </c>
      <c r="O36" s="19">
        <v>110</v>
      </c>
      <c r="P36" s="19"/>
      <c r="Q36" s="19"/>
      <c r="R36" s="4" t="s">
        <v>63</v>
      </c>
    </row>
    <row r="37" ht="57" customHeight="1" spans="1:18">
      <c r="A37">
        <v>33</v>
      </c>
      <c r="B37">
        <v>5</v>
      </c>
      <c r="C37" s="14">
        <f>Dashboard!$B$5+A37-1</f>
        <v>46341</v>
      </c>
      <c r="D37" s="4" t="s">
        <v>219</v>
      </c>
      <c r="E37" s="4" t="s">
        <v>220</v>
      </c>
      <c r="F37" s="4" t="s">
        <v>221</v>
      </c>
      <c r="G37" s="4" t="s">
        <v>222</v>
      </c>
      <c r="H37" s="4" t="s">
        <v>223</v>
      </c>
      <c r="I37" t="s">
        <v>62</v>
      </c>
      <c r="J37" t="s">
        <v>62</v>
      </c>
      <c r="K37" t="s">
        <v>62</v>
      </c>
      <c r="L37" t="s">
        <v>62</v>
      </c>
      <c r="M37" s="18">
        <f t="shared" si="1"/>
        <v>0</v>
      </c>
      <c r="N37" t="str">
        <f t="shared" si="0"/>
        <v>Not started</v>
      </c>
      <c r="O37" s="19">
        <v>110</v>
      </c>
      <c r="P37" s="19"/>
      <c r="Q37" s="19"/>
      <c r="R37" s="4" t="s">
        <v>63</v>
      </c>
    </row>
    <row r="38" ht="57" customHeight="1" spans="1:18">
      <c r="A38">
        <v>34</v>
      </c>
      <c r="B38">
        <v>5</v>
      </c>
      <c r="C38" s="14">
        <f>Dashboard!$B$5+A38-1</f>
        <v>46342</v>
      </c>
      <c r="D38" s="4" t="s">
        <v>224</v>
      </c>
      <c r="E38" s="4" t="s">
        <v>225</v>
      </c>
      <c r="F38" s="4" t="s">
        <v>226</v>
      </c>
      <c r="G38" s="4" t="s">
        <v>227</v>
      </c>
      <c r="H38" s="4" t="s">
        <v>228</v>
      </c>
      <c r="I38" t="s">
        <v>62</v>
      </c>
      <c r="J38" t="s">
        <v>62</v>
      </c>
      <c r="K38" t="s">
        <v>62</v>
      </c>
      <c r="L38" t="s">
        <v>62</v>
      </c>
      <c r="M38" s="18">
        <f t="shared" si="1"/>
        <v>0</v>
      </c>
      <c r="N38" t="str">
        <f t="shared" si="0"/>
        <v>Not started</v>
      </c>
      <c r="O38" s="19">
        <v>120</v>
      </c>
      <c r="P38" s="19"/>
      <c r="Q38" s="19"/>
      <c r="R38" s="4" t="s">
        <v>63</v>
      </c>
    </row>
    <row r="39" ht="57" customHeight="1" spans="1:18">
      <c r="A39">
        <v>35</v>
      </c>
      <c r="B39">
        <v>5</v>
      </c>
      <c r="C39" s="14">
        <f>Dashboard!$B$5+A39-1</f>
        <v>46343</v>
      </c>
      <c r="D39" s="4" t="s">
        <v>229</v>
      </c>
      <c r="E39" s="4" t="s">
        <v>230</v>
      </c>
      <c r="F39" s="4" t="s">
        <v>231</v>
      </c>
      <c r="G39" s="4" t="s">
        <v>232</v>
      </c>
      <c r="H39" s="4" t="s">
        <v>233</v>
      </c>
      <c r="I39" t="s">
        <v>62</v>
      </c>
      <c r="J39" t="s">
        <v>62</v>
      </c>
      <c r="K39" t="s">
        <v>62</v>
      </c>
      <c r="L39" t="s">
        <v>62</v>
      </c>
      <c r="M39" s="18">
        <f t="shared" si="1"/>
        <v>0</v>
      </c>
      <c r="N39" t="str">
        <f t="shared" si="0"/>
        <v>Not started</v>
      </c>
      <c r="O39" s="19">
        <v>50</v>
      </c>
      <c r="P39" s="19"/>
      <c r="Q39" s="19"/>
      <c r="R39" s="4" t="s">
        <v>63</v>
      </c>
    </row>
    <row r="40" ht="57" customHeight="1" spans="1:18">
      <c r="A40" s="10">
        <v>36</v>
      </c>
      <c r="B40" s="10">
        <v>6</v>
      </c>
      <c r="C40" s="11">
        <f>Dashboard!$B$5+A40-1</f>
        <v>46344</v>
      </c>
      <c r="D40" s="12" t="s">
        <v>234</v>
      </c>
      <c r="E40" s="13" t="s">
        <v>235</v>
      </c>
      <c r="F40" s="13" t="s">
        <v>236</v>
      </c>
      <c r="G40" s="13" t="s">
        <v>237</v>
      </c>
      <c r="H40" s="13" t="s">
        <v>238</v>
      </c>
      <c r="I40" s="15" t="s">
        <v>62</v>
      </c>
      <c r="J40" s="15" t="s">
        <v>62</v>
      </c>
      <c r="K40" s="15" t="s">
        <v>62</v>
      </c>
      <c r="L40" s="15" t="s">
        <v>62</v>
      </c>
      <c r="M40" s="16">
        <f t="shared" si="1"/>
        <v>0</v>
      </c>
      <c r="N40" s="15" t="str">
        <f t="shared" si="0"/>
        <v>Not started</v>
      </c>
      <c r="O40" s="17">
        <v>110</v>
      </c>
      <c r="P40" s="17"/>
      <c r="Q40" s="17"/>
      <c r="R40" s="13" t="s">
        <v>63</v>
      </c>
    </row>
    <row r="41" ht="57" customHeight="1" spans="1:18">
      <c r="A41">
        <v>37</v>
      </c>
      <c r="B41">
        <v>6</v>
      </c>
      <c r="C41" s="14">
        <f>Dashboard!$B$5+A41-1</f>
        <v>46345</v>
      </c>
      <c r="D41" s="4" t="s">
        <v>239</v>
      </c>
      <c r="E41" s="4" t="s">
        <v>240</v>
      </c>
      <c r="F41" s="4" t="s">
        <v>241</v>
      </c>
      <c r="G41" s="4" t="s">
        <v>242</v>
      </c>
      <c r="H41" s="4" t="s">
        <v>243</v>
      </c>
      <c r="I41" t="s">
        <v>62</v>
      </c>
      <c r="J41" t="s">
        <v>62</v>
      </c>
      <c r="K41" t="s">
        <v>62</v>
      </c>
      <c r="L41" t="s">
        <v>62</v>
      </c>
      <c r="M41" s="18">
        <f t="shared" si="1"/>
        <v>0</v>
      </c>
      <c r="N41" t="str">
        <f t="shared" si="0"/>
        <v>Not started</v>
      </c>
      <c r="O41" s="19">
        <v>110</v>
      </c>
      <c r="P41" s="19"/>
      <c r="Q41" s="19"/>
      <c r="R41" s="4" t="s">
        <v>63</v>
      </c>
    </row>
    <row r="42" ht="57" customHeight="1" spans="1:18">
      <c r="A42">
        <v>38</v>
      </c>
      <c r="B42">
        <v>6</v>
      </c>
      <c r="C42" s="14">
        <f>Dashboard!$B$5+A42-1</f>
        <v>46346</v>
      </c>
      <c r="D42" s="4" t="s">
        <v>244</v>
      </c>
      <c r="E42" s="4" t="s">
        <v>245</v>
      </c>
      <c r="F42" s="4" t="s">
        <v>246</v>
      </c>
      <c r="G42" s="4" t="s">
        <v>247</v>
      </c>
      <c r="H42" s="4" t="s">
        <v>248</v>
      </c>
      <c r="I42" t="s">
        <v>62</v>
      </c>
      <c r="J42" t="s">
        <v>62</v>
      </c>
      <c r="K42" t="s">
        <v>62</v>
      </c>
      <c r="L42" t="s">
        <v>62</v>
      </c>
      <c r="M42" s="18">
        <f t="shared" si="1"/>
        <v>0</v>
      </c>
      <c r="N42" t="str">
        <f t="shared" si="0"/>
        <v>Not started</v>
      </c>
      <c r="O42" s="19">
        <v>110</v>
      </c>
      <c r="P42" s="19"/>
      <c r="Q42" s="19"/>
      <c r="R42" s="4" t="s">
        <v>63</v>
      </c>
    </row>
    <row r="43" ht="57" customHeight="1" spans="1:18">
      <c r="A43">
        <v>39</v>
      </c>
      <c r="B43">
        <v>6</v>
      </c>
      <c r="C43" s="14">
        <f>Dashboard!$B$5+A43-1</f>
        <v>46347</v>
      </c>
      <c r="D43" s="4" t="s">
        <v>249</v>
      </c>
      <c r="E43" s="4" t="s">
        <v>250</v>
      </c>
      <c r="F43" s="4" t="s">
        <v>251</v>
      </c>
      <c r="G43" s="4" t="s">
        <v>252</v>
      </c>
      <c r="H43" s="4" t="s">
        <v>253</v>
      </c>
      <c r="I43" t="s">
        <v>62</v>
      </c>
      <c r="J43" t="s">
        <v>62</v>
      </c>
      <c r="K43" t="s">
        <v>62</v>
      </c>
      <c r="L43" t="s">
        <v>62</v>
      </c>
      <c r="M43" s="18">
        <f t="shared" si="1"/>
        <v>0</v>
      </c>
      <c r="N43" t="str">
        <f t="shared" si="0"/>
        <v>Not started</v>
      </c>
      <c r="O43" s="19">
        <v>110</v>
      </c>
      <c r="P43" s="19"/>
      <c r="Q43" s="19"/>
      <c r="R43" s="4" t="s">
        <v>63</v>
      </c>
    </row>
    <row r="44" ht="57" customHeight="1" spans="1:18">
      <c r="A44">
        <v>40</v>
      </c>
      <c r="B44">
        <v>6</v>
      </c>
      <c r="C44" s="14">
        <f>Dashboard!$B$5+A44-1</f>
        <v>46348</v>
      </c>
      <c r="D44" s="4" t="s">
        <v>254</v>
      </c>
      <c r="E44" s="4" t="s">
        <v>255</v>
      </c>
      <c r="F44" s="4" t="s">
        <v>256</v>
      </c>
      <c r="G44" s="4" t="s">
        <v>257</v>
      </c>
      <c r="H44" s="4" t="s">
        <v>258</v>
      </c>
      <c r="I44" t="s">
        <v>62</v>
      </c>
      <c r="J44" t="s">
        <v>62</v>
      </c>
      <c r="K44" t="s">
        <v>62</v>
      </c>
      <c r="L44" t="s">
        <v>62</v>
      </c>
      <c r="M44" s="18">
        <f t="shared" si="1"/>
        <v>0</v>
      </c>
      <c r="N44" t="str">
        <f t="shared" si="0"/>
        <v>Not started</v>
      </c>
      <c r="O44" s="19">
        <v>110</v>
      </c>
      <c r="P44" s="19"/>
      <c r="Q44" s="19"/>
      <c r="R44" s="4" t="s">
        <v>63</v>
      </c>
    </row>
    <row r="45" ht="57" customHeight="1" spans="1:18">
      <c r="A45">
        <v>41</v>
      </c>
      <c r="B45">
        <v>6</v>
      </c>
      <c r="C45" s="14">
        <f>Dashboard!$B$5+A45-1</f>
        <v>46349</v>
      </c>
      <c r="D45" s="4" t="s">
        <v>259</v>
      </c>
      <c r="E45" s="4" t="s">
        <v>260</v>
      </c>
      <c r="F45" s="4" t="s">
        <v>261</v>
      </c>
      <c r="G45" s="4" t="s">
        <v>262</v>
      </c>
      <c r="H45" s="4" t="s">
        <v>263</v>
      </c>
      <c r="I45" t="s">
        <v>62</v>
      </c>
      <c r="J45" t="s">
        <v>62</v>
      </c>
      <c r="K45" t="s">
        <v>62</v>
      </c>
      <c r="L45" t="s">
        <v>62</v>
      </c>
      <c r="M45" s="18">
        <f t="shared" si="1"/>
        <v>0</v>
      </c>
      <c r="N45" t="str">
        <f t="shared" si="0"/>
        <v>Not started</v>
      </c>
      <c r="O45" s="19">
        <v>120</v>
      </c>
      <c r="P45" s="19"/>
      <c r="Q45" s="19"/>
      <c r="R45" s="4" t="s">
        <v>63</v>
      </c>
    </row>
    <row r="46" ht="57" customHeight="1" spans="1:18">
      <c r="A46">
        <v>42</v>
      </c>
      <c r="B46">
        <v>6</v>
      </c>
      <c r="C46" s="14">
        <f>Dashboard!$B$5+A46-1</f>
        <v>46350</v>
      </c>
      <c r="D46" s="4" t="s">
        <v>264</v>
      </c>
      <c r="E46" s="4" t="s">
        <v>265</v>
      </c>
      <c r="F46" s="4" t="s">
        <v>266</v>
      </c>
      <c r="G46" s="4" t="s">
        <v>267</v>
      </c>
      <c r="H46" s="4" t="s">
        <v>268</v>
      </c>
      <c r="I46" t="s">
        <v>62</v>
      </c>
      <c r="J46" t="s">
        <v>62</v>
      </c>
      <c r="K46" t="s">
        <v>62</v>
      </c>
      <c r="L46" t="s">
        <v>62</v>
      </c>
      <c r="M46" s="18">
        <f t="shared" si="1"/>
        <v>0</v>
      </c>
      <c r="N46" t="str">
        <f t="shared" si="0"/>
        <v>Not started</v>
      </c>
      <c r="O46" s="19">
        <v>60</v>
      </c>
      <c r="P46" s="19"/>
      <c r="Q46" s="19"/>
      <c r="R46" s="4" t="s">
        <v>63</v>
      </c>
    </row>
  </sheetData>
  <mergeCells count="2">
    <mergeCell ref="A3:R3"/>
    <mergeCell ref="A1:R2"/>
  </mergeCells>
  <conditionalFormatting sqref="M5:M46">
    <cfRule type="dataBar" priority="3">
      <dataBar>
        <cfvo type="min"/>
        <cfvo type="max"/>
        <color rgb="FF1D4ED8"/>
      </dataBar>
      <extLst>
        <ext xmlns:x14="http://schemas.microsoft.com/office/spreadsheetml/2009/9/main" uri="{B025F937-C7B1-47D3-B67F-A62EFF666E3E}">
          <x14:id>{502c0fbe-7b59-44e4-ac8b-11268d3a535d}</x14:id>
        </ext>
      </extLst>
    </cfRule>
  </conditionalFormatting>
  <conditionalFormatting sqref="N5:N46">
    <cfRule type="expression" dxfId="0" priority="4">
      <formula>$N5="Completed"</formula>
    </cfRule>
  </conditionalFormatting>
  <conditionalFormatting sqref="Q5:Q46">
    <cfRule type="colorScale" priority="5">
      <colorScale>
        <cfvo type="min"/>
        <cfvo type="percentile" val="50"/>
        <cfvo type="max"/>
        <color rgb="FFFECACA"/>
        <color rgb="FFFEF3C7"/>
        <color rgb="FFBBF7D0"/>
      </colorScale>
    </cfRule>
  </conditionalFormatting>
  <conditionalFormatting sqref="I5:L46">
    <cfRule type="expression" dxfId="0" priority="1">
      <formula>I5="Done"</formula>
    </cfRule>
    <cfRule type="expression" dxfId="1" priority="2">
      <formula>I5="In progress"</formula>
    </cfRule>
  </conditionalFormatting>
  <dataValidations count="1">
    <dataValidation type="list" sqref="I5:L46">
      <formula1>"Not started,In progress,Done"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0fbe-7b59-44e4-ac8b-11268d3a535d}">
            <x14:dataBar minLength="10" maxLength="90" gradient="0" negativeBarColorSameAsPositive="1">
              <x14:cfvo type="min"/>
              <x14:cfvo type="max"/>
              <x14:axisColor indexed="65"/>
            </x14:dataBar>
          </x14:cfRule>
          <xm:sqref>M5:M46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pane ySplit="4" topLeftCell="A5" activePane="bottomLeft" state="frozen"/>
      <selection/>
      <selection pane="bottomLeft" activeCell="A1" sqref="A1:M2"/>
    </sheetView>
  </sheetViews>
  <sheetFormatPr defaultColWidth="9" defaultRowHeight="13.8"/>
  <cols>
    <col min="1" max="1" width="6" customWidth="1"/>
    <col min="2" max="2" width="16" customWidth="1"/>
    <col min="3" max="3" width="25" customWidth="1"/>
    <col min="4" max="4" width="67" customWidth="1"/>
    <col min="5" max="7" width="16" customWidth="1"/>
    <col min="8" max="8" width="17" customWidth="1"/>
    <col min="9" max="9" width="18" customWidth="1"/>
    <col min="10" max="10" width="20" customWidth="1"/>
    <col min="11" max="11" width="52" customWidth="1"/>
    <col min="12" max="12" width="44" customWidth="1"/>
    <col min="13" max="13" width="16" customWidth="1"/>
  </cols>
  <sheetData>
    <row r="1" ht="27" customHeight="1" spans="1:13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7" customHeight="1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8" customHeight="1" spans="1:13">
      <c r="A3" s="2" t="s">
        <v>270</v>
      </c>
      <c r="B3" s="2"/>
      <c r="C3" s="2"/>
      <c r="D3" s="5" t="s">
        <v>271</v>
      </c>
      <c r="E3" s="6">
        <v>0.3</v>
      </c>
      <c r="F3" s="6">
        <v>0.25</v>
      </c>
      <c r="G3" s="6">
        <v>0.2</v>
      </c>
      <c r="H3" s="6">
        <v>0.15</v>
      </c>
      <c r="I3" s="6">
        <v>0.1</v>
      </c>
      <c r="J3" s="2"/>
      <c r="K3" s="2"/>
      <c r="L3" s="2"/>
      <c r="M3" s="2"/>
    </row>
    <row r="4" ht="43" customHeight="1" spans="1:13">
      <c r="A4" s="7" t="s">
        <v>272</v>
      </c>
      <c r="B4" s="7" t="s">
        <v>40</v>
      </c>
      <c r="C4" s="7" t="s">
        <v>273</v>
      </c>
      <c r="D4" s="7" t="s">
        <v>274</v>
      </c>
      <c r="E4" s="7" t="s">
        <v>275</v>
      </c>
      <c r="F4" s="7" t="s">
        <v>276</v>
      </c>
      <c r="G4" s="7" t="s">
        <v>277</v>
      </c>
      <c r="H4" s="7" t="s">
        <v>278</v>
      </c>
      <c r="I4" s="7" t="s">
        <v>279</v>
      </c>
      <c r="J4" s="7" t="s">
        <v>280</v>
      </c>
      <c r="K4" s="7" t="s">
        <v>281</v>
      </c>
      <c r="L4" s="7" t="s">
        <v>282</v>
      </c>
      <c r="M4" s="7" t="s">
        <v>283</v>
      </c>
    </row>
    <row r="5" ht="50" customHeight="1" spans="1:13">
      <c r="A5">
        <v>1</v>
      </c>
      <c r="B5" s="8"/>
      <c r="C5" t="s">
        <v>284</v>
      </c>
      <c r="D5" s="4" t="s">
        <v>285</v>
      </c>
      <c r="J5" t="str">
        <f>IF(COUNT(E5:I5)&lt;5,"",ROUND(E5*$E$3+F5*$F$3+G5*$G$3+H5*$H$3+I5*$I$3,1))</f>
        <v/>
      </c>
      <c r="K5" s="4" t="s">
        <v>63</v>
      </c>
      <c r="L5" s="4" t="s">
        <v>63</v>
      </c>
      <c r="M5" s="8" t="s">
        <v>63</v>
      </c>
    </row>
    <row r="6" ht="50" customHeight="1" spans="1:13">
      <c r="A6">
        <v>2</v>
      </c>
      <c r="B6" s="8"/>
      <c r="C6" t="s">
        <v>286</v>
      </c>
      <c r="D6" s="4" t="s">
        <v>287</v>
      </c>
      <c r="J6" t="str">
        <f>IF(COUNT(E6:I6)&lt;5,"",ROUND(E6*$E$3+F6*$F$3+G6*$G$3+H6*$H$3+I6*$I$3,1))</f>
        <v/>
      </c>
      <c r="K6" s="4" t="s">
        <v>63</v>
      </c>
      <c r="L6" s="4" t="s">
        <v>63</v>
      </c>
      <c r="M6" s="8" t="s">
        <v>63</v>
      </c>
    </row>
    <row r="7" ht="50" customHeight="1" spans="1:13">
      <c r="A7">
        <v>3</v>
      </c>
      <c r="B7" s="8"/>
      <c r="C7" t="s">
        <v>288</v>
      </c>
      <c r="D7" s="4" t="s">
        <v>289</v>
      </c>
      <c r="J7" t="str">
        <f>IF(COUNT(E7:I7)&lt;5,"",ROUND(E7*$E$3+F7*$F$3+G7*$G$3+H7*$H$3+I7*$I$3,1))</f>
        <v/>
      </c>
      <c r="K7" s="4" t="s">
        <v>63</v>
      </c>
      <c r="L7" s="4" t="s">
        <v>63</v>
      </c>
      <c r="M7" s="8" t="s">
        <v>63</v>
      </c>
    </row>
    <row r="8" ht="50" customHeight="1" spans="1:13">
      <c r="A8">
        <v>4</v>
      </c>
      <c r="B8" s="8"/>
      <c r="C8" t="s">
        <v>290</v>
      </c>
      <c r="D8" s="4" t="s">
        <v>291</v>
      </c>
      <c r="J8" t="str">
        <f>IF(COUNT(E8:I8)&lt;5,"",ROUND(E8*$E$3+F8*$F$3+G8*$G$3+H8*$H$3+I8*$I$3,1))</f>
        <v/>
      </c>
      <c r="K8" s="4" t="s">
        <v>63</v>
      </c>
      <c r="L8" s="4" t="s">
        <v>63</v>
      </c>
      <c r="M8" s="8" t="s">
        <v>63</v>
      </c>
    </row>
    <row r="9" ht="50" customHeight="1" spans="1:13">
      <c r="A9">
        <v>5</v>
      </c>
      <c r="B9" s="8"/>
      <c r="C9" t="s">
        <v>292</v>
      </c>
      <c r="D9" s="4" t="s">
        <v>293</v>
      </c>
      <c r="J9" t="str">
        <f>IF(COUNT(E9:I9)&lt;5,"",ROUND(E9*$E$3+F9*$F$3+G9*$G$3+H9*$H$3+I9*$I$3,1))</f>
        <v/>
      </c>
      <c r="K9" s="4" t="s">
        <v>63</v>
      </c>
      <c r="L9" s="4" t="s">
        <v>63</v>
      </c>
      <c r="M9" s="8" t="s">
        <v>63</v>
      </c>
    </row>
    <row r="10" ht="50" customHeight="1" spans="1:13">
      <c r="A10">
        <v>6</v>
      </c>
      <c r="B10" s="8"/>
      <c r="C10" t="s">
        <v>294</v>
      </c>
      <c r="D10" s="4" t="s">
        <v>295</v>
      </c>
      <c r="J10" t="str">
        <f>IF(COUNT(E10:I10)&lt;5,"",ROUND(E10*$E$3+F10*$F$3+G10*$G$3+H10*$H$3+I10*$I$3,1))</f>
        <v/>
      </c>
      <c r="K10" s="4" t="s">
        <v>63</v>
      </c>
      <c r="L10" s="4" t="s">
        <v>63</v>
      </c>
      <c r="M10" s="8" t="s">
        <v>63</v>
      </c>
    </row>
    <row r="11" ht="50" customHeight="1" spans="1:13">
      <c r="A11">
        <v>7</v>
      </c>
      <c r="B11" s="8"/>
      <c r="C11" t="s">
        <v>296</v>
      </c>
      <c r="D11" s="4" t="s">
        <v>297</v>
      </c>
      <c r="J11" t="str">
        <f>IF(COUNT(E11:I11)&lt;5,"",ROUND(E11*$E$3+F11*$F$3+G11*$G$3+H11*$H$3+I11*$I$3,1))</f>
        <v/>
      </c>
      <c r="K11" s="4" t="s">
        <v>63</v>
      </c>
      <c r="L11" s="4" t="s">
        <v>63</v>
      </c>
      <c r="M11" s="8" t="s">
        <v>63</v>
      </c>
    </row>
    <row r="12" ht="50" customHeight="1" spans="1:13">
      <c r="A12">
        <v>8</v>
      </c>
      <c r="B12" s="8"/>
      <c r="C12" t="s">
        <v>298</v>
      </c>
      <c r="D12" s="4" t="s">
        <v>299</v>
      </c>
      <c r="J12" t="str">
        <f>IF(COUNT(E12:I12)&lt;5,"",ROUND(E12*$E$3+F12*$F$3+G12*$G$3+H12*$H$3+I12*$I$3,1))</f>
        <v/>
      </c>
      <c r="K12" s="4" t="s">
        <v>63</v>
      </c>
      <c r="L12" s="4" t="s">
        <v>63</v>
      </c>
      <c r="M12" s="8" t="s">
        <v>63</v>
      </c>
    </row>
    <row r="13" ht="50" customHeight="1" spans="1:13">
      <c r="A13">
        <v>9</v>
      </c>
      <c r="B13" s="8"/>
      <c r="C13" t="s">
        <v>300</v>
      </c>
      <c r="D13" s="4" t="s">
        <v>301</v>
      </c>
      <c r="J13" t="str">
        <f>IF(COUNT(E13:I13)&lt;5,"",ROUND(E13*$E$3+F13*$F$3+G13*$G$3+H13*$H$3+I13*$I$3,1))</f>
        <v/>
      </c>
      <c r="K13" s="4" t="s">
        <v>63</v>
      </c>
      <c r="L13" s="4" t="s">
        <v>63</v>
      </c>
      <c r="M13" s="8" t="s">
        <v>63</v>
      </c>
    </row>
    <row r="14" ht="50" customHeight="1" spans="1:13">
      <c r="A14">
        <v>10</v>
      </c>
      <c r="B14" s="8"/>
      <c r="C14" t="s">
        <v>302</v>
      </c>
      <c r="D14" s="4" t="s">
        <v>303</v>
      </c>
      <c r="J14" t="str">
        <f>IF(COUNT(E14:I14)&lt;5,"",ROUND(E14*$E$3+F14*$F$3+G14*$G$3+H14*$H$3+I14*$I$3,1))</f>
        <v/>
      </c>
      <c r="K14" s="4" t="s">
        <v>63</v>
      </c>
      <c r="L14" s="4" t="s">
        <v>63</v>
      </c>
      <c r="M14" s="8" t="s">
        <v>63</v>
      </c>
    </row>
    <row r="15" ht="50" customHeight="1" spans="1:13">
      <c r="A15">
        <v>11</v>
      </c>
      <c r="B15" s="8"/>
      <c r="C15" t="s">
        <v>304</v>
      </c>
      <c r="D15" s="4" t="s">
        <v>305</v>
      </c>
      <c r="J15" t="str">
        <f>IF(COUNT(E15:I15)&lt;5,"",ROUND(E15*$E$3+F15*$F$3+G15*$G$3+H15*$H$3+I15*$I$3,1))</f>
        <v/>
      </c>
      <c r="K15" s="4" t="s">
        <v>63</v>
      </c>
      <c r="L15" s="4" t="s">
        <v>63</v>
      </c>
      <c r="M15" s="8" t="s">
        <v>63</v>
      </c>
    </row>
    <row r="16" ht="50" customHeight="1" spans="1:13">
      <c r="A16">
        <v>12</v>
      </c>
      <c r="B16" s="8"/>
      <c r="C16" t="s">
        <v>306</v>
      </c>
      <c r="D16" s="4" t="s">
        <v>307</v>
      </c>
      <c r="J16" t="str">
        <f>IF(COUNT(E16:I16)&lt;5,"",ROUND(E16*$E$3+F16*$F$3+G16*$G$3+H16*$H$3+I16*$I$3,1))</f>
        <v/>
      </c>
      <c r="K16" s="4" t="s">
        <v>63</v>
      </c>
      <c r="L16" s="4" t="s">
        <v>63</v>
      </c>
      <c r="M16" s="8" t="s">
        <v>63</v>
      </c>
    </row>
    <row r="17" ht="50" customHeight="1" spans="1:13">
      <c r="A17">
        <v>13</v>
      </c>
      <c r="B17" s="8"/>
      <c r="C17" t="s">
        <v>308</v>
      </c>
      <c r="D17" s="4" t="s">
        <v>309</v>
      </c>
      <c r="J17" t="str">
        <f>IF(COUNT(E17:I17)&lt;5,"",ROUND(E17*$E$3+F17*$F$3+G17*$G$3+H17*$H$3+I17*$I$3,1))</f>
        <v/>
      </c>
      <c r="K17" s="4" t="s">
        <v>63</v>
      </c>
      <c r="L17" s="4" t="s">
        <v>63</v>
      </c>
      <c r="M17" s="8" t="s">
        <v>63</v>
      </c>
    </row>
    <row r="18" ht="50" customHeight="1" spans="1:13">
      <c r="A18">
        <v>14</v>
      </c>
      <c r="B18" s="8"/>
      <c r="C18" t="s">
        <v>254</v>
      </c>
      <c r="D18" s="4" t="s">
        <v>310</v>
      </c>
      <c r="J18" t="str">
        <f>IF(COUNT(E18:I18)&lt;5,"",ROUND(E18*$E$3+F18*$F$3+G18*$G$3+H18*$H$3+I18*$I$3,1))</f>
        <v/>
      </c>
      <c r="K18" s="4" t="s">
        <v>63</v>
      </c>
      <c r="L18" s="4" t="s">
        <v>63</v>
      </c>
      <c r="M18" s="8" t="s">
        <v>63</v>
      </c>
    </row>
    <row r="19" ht="50" customHeight="1" spans="1:13">
      <c r="A19">
        <v>15</v>
      </c>
      <c r="B19" s="8"/>
      <c r="C19" t="s">
        <v>311</v>
      </c>
      <c r="D19" s="4" t="s">
        <v>312</v>
      </c>
      <c r="J19" t="str">
        <f>IF(COUNT(E19:I19)&lt;5,"",ROUND(E19*$E$3+F19*$F$3+G19*$G$3+H19*$H$3+I19*$I$3,1))</f>
        <v/>
      </c>
      <c r="K19" s="4" t="s">
        <v>63</v>
      </c>
      <c r="L19" s="4" t="s">
        <v>63</v>
      </c>
      <c r="M19" s="8" t="s">
        <v>63</v>
      </c>
    </row>
    <row r="20" ht="50" customHeight="1" spans="1:13">
      <c r="A20">
        <v>16</v>
      </c>
      <c r="B20" s="8"/>
      <c r="C20" t="s">
        <v>313</v>
      </c>
      <c r="D20" s="4" t="s">
        <v>314</v>
      </c>
      <c r="J20" t="str">
        <f>IF(COUNT(E20:I20)&lt;5,"",ROUND(E20*$E$3+F20*$F$3+G20*$G$3+H20*$H$3+I20*$I$3,1))</f>
        <v/>
      </c>
      <c r="K20" s="4" t="s">
        <v>63</v>
      </c>
      <c r="L20" s="4" t="s">
        <v>63</v>
      </c>
      <c r="M20" s="8" t="s">
        <v>63</v>
      </c>
    </row>
  </sheetData>
  <mergeCells count="2">
    <mergeCell ref="A3:M3"/>
    <mergeCell ref="A1:M2"/>
  </mergeCells>
  <conditionalFormatting sqref="J5:J20">
    <cfRule type="dataBar" priority="1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{fe03af65-5ffd-460c-8046-d39d74e23a78}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03af65-5ffd-460c-8046-d39d74e23a78}">
            <x14:dataBar minLength="10" maxLength="90" gradient="0" negativeBarColorSameAsPositive="1">
              <x14:cfvo type="min"/>
              <x14:cfvo type="max"/>
              <x14:axisColor indexed="65"/>
            </x14:dataBar>
          </x14:cfRule>
          <xm:sqref>J5:J20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ySplit="4" topLeftCell="A5" activePane="bottomLeft" state="frozen"/>
      <selection/>
      <selection pane="bottomLeft" activeCell="A1" sqref="A1:G2"/>
    </sheetView>
  </sheetViews>
  <sheetFormatPr defaultColWidth="9" defaultRowHeight="13.8" outlineLevelCol="6"/>
  <cols>
    <col min="1" max="1" width="44" customWidth="1"/>
    <col min="2" max="2" width="27" customWidth="1"/>
    <col min="3" max="3" width="15" customWidth="1"/>
    <col min="4" max="4" width="20" customWidth="1"/>
    <col min="5" max="5" width="53" customWidth="1"/>
    <col min="6" max="6" width="50" customWidth="1"/>
    <col min="7" max="7" width="18" customWidth="1"/>
  </cols>
  <sheetData>
    <row r="1" ht="27" customHeight="1" spans="1:7">
      <c r="A1" s="1" t="s">
        <v>315</v>
      </c>
      <c r="B1" s="1"/>
      <c r="C1" s="1"/>
      <c r="D1" s="1"/>
      <c r="E1" s="1"/>
      <c r="F1" s="1"/>
      <c r="G1" s="1"/>
    </row>
    <row r="2" ht="27" customHeight="1" spans="1:7">
      <c r="A2" s="1"/>
      <c r="B2" s="1"/>
      <c r="C2" s="1"/>
      <c r="D2" s="1"/>
      <c r="E2" s="1"/>
      <c r="F2" s="1"/>
      <c r="G2" s="1"/>
    </row>
    <row r="3" ht="28" customHeight="1" spans="1:7">
      <c r="A3" s="2" t="s">
        <v>316</v>
      </c>
      <c r="B3" s="2"/>
      <c r="C3" s="2"/>
      <c r="D3" s="2"/>
      <c r="E3" s="2"/>
      <c r="F3" s="2"/>
      <c r="G3" s="2"/>
    </row>
    <row r="4" ht="36" customHeight="1" spans="1:7">
      <c r="A4" s="3" t="s">
        <v>317</v>
      </c>
      <c r="B4" s="3" t="s">
        <v>318</v>
      </c>
      <c r="C4" s="3" t="s">
        <v>319</v>
      </c>
      <c r="D4" s="3" t="s">
        <v>320</v>
      </c>
      <c r="E4" s="3" t="s">
        <v>321</v>
      </c>
      <c r="F4" s="3" t="s">
        <v>282</v>
      </c>
      <c r="G4" s="3" t="s">
        <v>322</v>
      </c>
    </row>
    <row r="5" ht="29" customHeight="1" spans="1:7">
      <c r="A5" t="s">
        <v>323</v>
      </c>
      <c r="B5" t="s">
        <v>324</v>
      </c>
      <c r="C5" t="s">
        <v>325</v>
      </c>
      <c r="E5" s="4" t="s">
        <v>63</v>
      </c>
      <c r="F5" s="4" t="s">
        <v>63</v>
      </c>
      <c r="G5" t="str">
        <f t="shared" ref="G5:G32" si="0">IF(D5="","Not rated",IF(D5&gt;=3,"Ready","Practice"))</f>
        <v>Not rated</v>
      </c>
    </row>
    <row r="6" ht="29" customHeight="1" spans="1:7">
      <c r="A6" t="s">
        <v>326</v>
      </c>
      <c r="B6" t="s">
        <v>324</v>
      </c>
      <c r="C6" t="s">
        <v>327</v>
      </c>
      <c r="E6" s="4" t="s">
        <v>63</v>
      </c>
      <c r="F6" s="4" t="s">
        <v>63</v>
      </c>
      <c r="G6" t="str">
        <f t="shared" si="0"/>
        <v>Not rated</v>
      </c>
    </row>
    <row r="7" ht="29" customHeight="1" spans="1:7">
      <c r="A7" t="s">
        <v>328</v>
      </c>
      <c r="B7" t="s">
        <v>324</v>
      </c>
      <c r="C7" t="s">
        <v>325</v>
      </c>
      <c r="E7" s="4" t="s">
        <v>63</v>
      </c>
      <c r="F7" s="4" t="s">
        <v>63</v>
      </c>
      <c r="G7" t="str">
        <f t="shared" si="0"/>
        <v>Not rated</v>
      </c>
    </row>
    <row r="8" ht="29" customHeight="1" spans="1:7">
      <c r="A8" t="s">
        <v>329</v>
      </c>
      <c r="B8" t="s">
        <v>330</v>
      </c>
      <c r="C8" t="s">
        <v>325</v>
      </c>
      <c r="E8" s="4" t="s">
        <v>63</v>
      </c>
      <c r="F8" s="4" t="s">
        <v>63</v>
      </c>
      <c r="G8" t="str">
        <f t="shared" si="0"/>
        <v>Not rated</v>
      </c>
    </row>
    <row r="9" ht="29" customHeight="1" spans="1:7">
      <c r="A9" t="s">
        <v>331</v>
      </c>
      <c r="B9" t="s">
        <v>300</v>
      </c>
      <c r="C9" t="s">
        <v>325</v>
      </c>
      <c r="E9" s="4" t="s">
        <v>63</v>
      </c>
      <c r="F9" s="4" t="s">
        <v>63</v>
      </c>
      <c r="G9" t="str">
        <f t="shared" si="0"/>
        <v>Not rated</v>
      </c>
    </row>
    <row r="10" ht="29" customHeight="1" spans="1:7">
      <c r="A10" t="s">
        <v>332</v>
      </c>
      <c r="B10" t="s">
        <v>286</v>
      </c>
      <c r="C10" t="s">
        <v>325</v>
      </c>
      <c r="E10" s="4" t="s">
        <v>63</v>
      </c>
      <c r="F10" s="4" t="s">
        <v>63</v>
      </c>
      <c r="G10" t="str">
        <f t="shared" si="0"/>
        <v>Not rated</v>
      </c>
    </row>
    <row r="11" ht="29" customHeight="1" spans="1:7">
      <c r="A11" t="s">
        <v>333</v>
      </c>
      <c r="B11" t="s">
        <v>286</v>
      </c>
      <c r="C11" t="s">
        <v>325</v>
      </c>
      <c r="E11" s="4" t="s">
        <v>63</v>
      </c>
      <c r="F11" s="4" t="s">
        <v>63</v>
      </c>
      <c r="G11" t="str">
        <f t="shared" si="0"/>
        <v>Not rated</v>
      </c>
    </row>
    <row r="12" ht="29" customHeight="1" spans="1:7">
      <c r="A12" t="s">
        <v>334</v>
      </c>
      <c r="B12" t="s">
        <v>286</v>
      </c>
      <c r="C12" t="s">
        <v>325</v>
      </c>
      <c r="E12" s="4" t="s">
        <v>63</v>
      </c>
      <c r="F12" s="4" t="s">
        <v>63</v>
      </c>
      <c r="G12" t="str">
        <f t="shared" si="0"/>
        <v>Not rated</v>
      </c>
    </row>
    <row r="13" ht="29" customHeight="1" spans="1:7">
      <c r="A13" t="s">
        <v>335</v>
      </c>
      <c r="B13" t="s">
        <v>286</v>
      </c>
      <c r="C13" t="s">
        <v>325</v>
      </c>
      <c r="E13" s="4" t="s">
        <v>63</v>
      </c>
      <c r="F13" s="4" t="s">
        <v>63</v>
      </c>
      <c r="G13" t="str">
        <f t="shared" si="0"/>
        <v>Not rated</v>
      </c>
    </row>
    <row r="14" ht="29" customHeight="1" spans="1:7">
      <c r="A14" t="s">
        <v>336</v>
      </c>
      <c r="B14" t="s">
        <v>286</v>
      </c>
      <c r="C14" t="s">
        <v>325</v>
      </c>
      <c r="E14" s="4" t="s">
        <v>63</v>
      </c>
      <c r="F14" s="4" t="s">
        <v>63</v>
      </c>
      <c r="G14" t="str">
        <f t="shared" si="0"/>
        <v>Not rated</v>
      </c>
    </row>
    <row r="15" ht="29" customHeight="1" spans="1:7">
      <c r="A15" t="s">
        <v>337</v>
      </c>
      <c r="B15" t="s">
        <v>330</v>
      </c>
      <c r="C15" t="s">
        <v>325</v>
      </c>
      <c r="E15" s="4" t="s">
        <v>63</v>
      </c>
      <c r="F15" s="4" t="s">
        <v>63</v>
      </c>
      <c r="G15" t="str">
        <f t="shared" si="0"/>
        <v>Not rated</v>
      </c>
    </row>
    <row r="16" ht="29" customHeight="1" spans="1:7">
      <c r="A16" t="s">
        <v>338</v>
      </c>
      <c r="B16" t="s">
        <v>330</v>
      </c>
      <c r="C16" t="s">
        <v>325</v>
      </c>
      <c r="E16" s="4" t="s">
        <v>63</v>
      </c>
      <c r="F16" s="4" t="s">
        <v>63</v>
      </c>
      <c r="G16" t="str">
        <f t="shared" si="0"/>
        <v>Not rated</v>
      </c>
    </row>
    <row r="17" ht="29" customHeight="1" spans="1:7">
      <c r="A17" t="s">
        <v>339</v>
      </c>
      <c r="B17" t="s">
        <v>330</v>
      </c>
      <c r="C17" t="s">
        <v>327</v>
      </c>
      <c r="E17" s="4" t="s">
        <v>63</v>
      </c>
      <c r="F17" s="4" t="s">
        <v>63</v>
      </c>
      <c r="G17" t="str">
        <f t="shared" si="0"/>
        <v>Not rated</v>
      </c>
    </row>
    <row r="18" ht="29" customHeight="1" spans="1:7">
      <c r="A18" t="s">
        <v>340</v>
      </c>
      <c r="B18" t="s">
        <v>330</v>
      </c>
      <c r="C18" t="s">
        <v>327</v>
      </c>
      <c r="E18" s="4" t="s">
        <v>63</v>
      </c>
      <c r="F18" s="4" t="s">
        <v>63</v>
      </c>
      <c r="G18" t="str">
        <f t="shared" si="0"/>
        <v>Not rated</v>
      </c>
    </row>
    <row r="19" ht="29" customHeight="1" spans="1:7">
      <c r="A19" t="s">
        <v>341</v>
      </c>
      <c r="B19" t="s">
        <v>330</v>
      </c>
      <c r="C19" t="s">
        <v>327</v>
      </c>
      <c r="E19" s="4" t="s">
        <v>63</v>
      </c>
      <c r="F19" s="4" t="s">
        <v>63</v>
      </c>
      <c r="G19" t="str">
        <f t="shared" si="0"/>
        <v>Not rated</v>
      </c>
    </row>
    <row r="20" ht="29" customHeight="1" spans="1:7">
      <c r="A20" t="s">
        <v>342</v>
      </c>
      <c r="B20" t="s">
        <v>300</v>
      </c>
      <c r="C20" t="s">
        <v>325</v>
      </c>
      <c r="E20" s="4" t="s">
        <v>63</v>
      </c>
      <c r="F20" s="4" t="s">
        <v>63</v>
      </c>
      <c r="G20" t="str">
        <f t="shared" si="0"/>
        <v>Not rated</v>
      </c>
    </row>
    <row r="21" ht="29" customHeight="1" spans="1:7">
      <c r="A21" t="s">
        <v>343</v>
      </c>
      <c r="B21" t="s">
        <v>300</v>
      </c>
      <c r="C21" t="s">
        <v>325</v>
      </c>
      <c r="E21" s="4" t="s">
        <v>63</v>
      </c>
      <c r="F21" s="4" t="s">
        <v>63</v>
      </c>
      <c r="G21" t="str">
        <f t="shared" si="0"/>
        <v>Not rated</v>
      </c>
    </row>
    <row r="22" ht="29" customHeight="1" spans="1:7">
      <c r="A22" t="s">
        <v>344</v>
      </c>
      <c r="B22" t="s">
        <v>300</v>
      </c>
      <c r="C22" t="s">
        <v>325</v>
      </c>
      <c r="E22" s="4" t="s">
        <v>63</v>
      </c>
      <c r="F22" s="4" t="s">
        <v>63</v>
      </c>
      <c r="G22" t="str">
        <f t="shared" si="0"/>
        <v>Not rated</v>
      </c>
    </row>
    <row r="23" ht="29" customHeight="1" spans="1:7">
      <c r="A23" t="s">
        <v>345</v>
      </c>
      <c r="B23" t="s">
        <v>300</v>
      </c>
      <c r="C23" t="s">
        <v>325</v>
      </c>
      <c r="E23" s="4" t="s">
        <v>63</v>
      </c>
      <c r="F23" s="4" t="s">
        <v>63</v>
      </c>
      <c r="G23" t="str">
        <f t="shared" si="0"/>
        <v>Not rated</v>
      </c>
    </row>
    <row r="24" ht="29" customHeight="1" spans="1:7">
      <c r="A24" t="s">
        <v>346</v>
      </c>
      <c r="B24" t="s">
        <v>300</v>
      </c>
      <c r="C24" t="s">
        <v>325</v>
      </c>
      <c r="E24" s="4" t="s">
        <v>63</v>
      </c>
      <c r="F24" s="4" t="s">
        <v>63</v>
      </c>
      <c r="G24" t="str">
        <f t="shared" si="0"/>
        <v>Not rated</v>
      </c>
    </row>
    <row r="25" ht="29" customHeight="1" spans="1:7">
      <c r="A25" t="s">
        <v>347</v>
      </c>
      <c r="B25" t="s">
        <v>348</v>
      </c>
      <c r="C25" t="s">
        <v>325</v>
      </c>
      <c r="E25" s="4" t="s">
        <v>63</v>
      </c>
      <c r="F25" s="4" t="s">
        <v>63</v>
      </c>
      <c r="G25" t="str">
        <f t="shared" si="0"/>
        <v>Not rated</v>
      </c>
    </row>
    <row r="26" ht="29" customHeight="1" spans="1:7">
      <c r="A26" t="s">
        <v>209</v>
      </c>
      <c r="B26" t="s">
        <v>348</v>
      </c>
      <c r="C26" t="s">
        <v>325</v>
      </c>
      <c r="E26" s="4" t="s">
        <v>63</v>
      </c>
      <c r="F26" s="4" t="s">
        <v>63</v>
      </c>
      <c r="G26" t="str">
        <f t="shared" si="0"/>
        <v>Not rated</v>
      </c>
    </row>
    <row r="27" ht="29" customHeight="1" spans="1:7">
      <c r="A27" t="s">
        <v>349</v>
      </c>
      <c r="B27" t="s">
        <v>348</v>
      </c>
      <c r="C27" t="s">
        <v>325</v>
      </c>
      <c r="E27" s="4" t="s">
        <v>63</v>
      </c>
      <c r="F27" s="4" t="s">
        <v>63</v>
      </c>
      <c r="G27" t="str">
        <f t="shared" si="0"/>
        <v>Not rated</v>
      </c>
    </row>
    <row r="28" ht="29" customHeight="1" spans="1:7">
      <c r="A28" t="s">
        <v>350</v>
      </c>
      <c r="B28" t="s">
        <v>348</v>
      </c>
      <c r="C28" t="s">
        <v>325</v>
      </c>
      <c r="E28" s="4" t="s">
        <v>63</v>
      </c>
      <c r="F28" s="4" t="s">
        <v>63</v>
      </c>
      <c r="G28" t="str">
        <f t="shared" si="0"/>
        <v>Not rated</v>
      </c>
    </row>
    <row r="29" ht="29" customHeight="1" spans="1:7">
      <c r="A29" t="s">
        <v>351</v>
      </c>
      <c r="B29" t="s">
        <v>352</v>
      </c>
      <c r="C29" t="s">
        <v>325</v>
      </c>
      <c r="E29" s="4" t="s">
        <v>63</v>
      </c>
      <c r="F29" s="4" t="s">
        <v>63</v>
      </c>
      <c r="G29" t="str">
        <f t="shared" si="0"/>
        <v>Not rated</v>
      </c>
    </row>
    <row r="30" ht="29" customHeight="1" spans="1:7">
      <c r="A30" t="s">
        <v>353</v>
      </c>
      <c r="B30" t="s">
        <v>352</v>
      </c>
      <c r="C30" t="s">
        <v>325</v>
      </c>
      <c r="E30" s="4" t="s">
        <v>63</v>
      </c>
      <c r="F30" s="4" t="s">
        <v>63</v>
      </c>
      <c r="G30" t="str">
        <f t="shared" si="0"/>
        <v>Not rated</v>
      </c>
    </row>
    <row r="31" ht="29" customHeight="1" spans="1:7">
      <c r="A31" t="s">
        <v>354</v>
      </c>
      <c r="B31" t="s">
        <v>355</v>
      </c>
      <c r="C31" t="s">
        <v>327</v>
      </c>
      <c r="E31" s="4" t="s">
        <v>63</v>
      </c>
      <c r="F31" s="4" t="s">
        <v>63</v>
      </c>
      <c r="G31" t="str">
        <f t="shared" si="0"/>
        <v>Not rated</v>
      </c>
    </row>
    <row r="32" ht="29" customHeight="1" spans="1:7">
      <c r="A32" t="s">
        <v>356</v>
      </c>
      <c r="B32" t="s">
        <v>355</v>
      </c>
      <c r="C32" t="s">
        <v>327</v>
      </c>
      <c r="E32" s="4" t="s">
        <v>63</v>
      </c>
      <c r="F32" s="4" t="s">
        <v>63</v>
      </c>
      <c r="G32" t="str">
        <f t="shared" si="0"/>
        <v>Not rated</v>
      </c>
    </row>
  </sheetData>
  <mergeCells count="2">
    <mergeCell ref="A3:G3"/>
    <mergeCell ref="A1:G2"/>
  </mergeCells>
  <conditionalFormatting sqref="G5:G32">
    <cfRule type="expression" dxfId="0" priority="1">
      <formula>$G5="Ready"</formula>
    </cfRule>
    <cfRule type="expression" dxfId="1" priority="2">
      <formula>$G5="Practice"</formula>
    </cfRule>
  </conditionalFormatting>
  <dataValidations count="1">
    <dataValidation type="list" sqref="D5:D32">
      <formula1>"0,1,2,3,4"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Daily Tracker</vt:lpstr>
      <vt:lpstr>Mock Interview Log</vt:lpstr>
      <vt:lpstr>Skill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unicom</cp:lastModifiedBy>
  <dcterms:created xsi:type="dcterms:W3CDTF">2026-10-14T08:57:00Z</dcterms:created>
  <dcterms:modified xsi:type="dcterms:W3CDTF">2026-10-21T10:02:10Z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5416043C7B374D3ABAEC4698C8D89918_12</vt:lpwstr>
  </property>
  <property fmtid="{D5CDD505-2E9C-101B-9397-08002B2CF9AE}" pid="3" name="KSOProductBuildVer">
    <vt:lpwstr>2052-12.8.2.21555</vt:lpwstr>
  </property>
</Properties>
</file>